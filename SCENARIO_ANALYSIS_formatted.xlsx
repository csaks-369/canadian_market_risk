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Snapshot" sheetId="1" state="visible" r:id="rId3"/>
  </sheets>
  <definedNames>
    <definedName function="false" hidden="false" localSheetId="0" name="_xlnm.Print_Titles" vbProcedure="false">'Risk Snapshot'!$1:$5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<sst xmlns="http://schemas.openxmlformats.org/spreadsheetml/2006/main" count="29" uniqueCount="22">
  <si>
    <t xml:space="preserve">Canadian Market Risk Snapshot: Stocks, Bonds &amp; Gold</t>
  </si>
  <si>
    <t xml:space="preserve">Correlation</t>
  </si>
  <si>
    <t xml:space="preserve">Source: Google Finance daily closes, 6-Oct-25 to 2-Oct-26 (TSE: XIU, ZAG, CGL). Annual volatility = daily volatility x SQRT(252).</t>
  </si>
  <si>
    <t xml:space="preserve">Portfolio Return</t>
  </si>
  <si>
    <t xml:space="preserve">S&amp;P/TSX</t>
  </si>
  <si>
    <t xml:space="preserve">BONDS</t>
  </si>
  <si>
    <t xml:space="preserve">GOLD</t>
  </si>
  <si>
    <t xml:space="preserve">Equal</t>
  </si>
  <si>
    <t xml:space="preserve">Conservative</t>
  </si>
  <si>
    <t xml:space="preserve">Daily Return</t>
  </si>
  <si>
    <t xml:space="preserve">Daily Volatility</t>
  </si>
  <si>
    <t xml:space="preserve">Annual Volatility</t>
  </si>
  <si>
    <t xml:space="preserve">Daily Volatility </t>
  </si>
  <si>
    <t xml:space="preserve">Daily Return </t>
  </si>
  <si>
    <t xml:space="preserve">Stocks vs Bonds</t>
  </si>
  <si>
    <t xml:space="preserve">Bonds vs Gold</t>
  </si>
  <si>
    <t xml:space="preserve">Gold vs Stocks</t>
  </si>
  <si>
    <t xml:space="preserve">33/33/33</t>
  </si>
  <si>
    <t xml:space="preserve">30S/60B/10G</t>
  </si>
  <si>
    <t xml:space="preserve">Portfolio Risk Summary</t>
  </si>
  <si>
    <t xml:space="preserve">Portfolio</t>
  </si>
  <si>
    <t xml:space="preserve">Equal Weight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</si>
</sst>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1009]d/mmm/yy;@"/>
    <numFmt numFmtId="166" formatCode="d\-mmm\-yy"/>
    <numFmt numFmtId="167" formatCode="0.00"/>
    <numFmt numFmtId="168" formatCode="0.00%;\(0.00%\)"/>
    <numFmt numFmtId="169" formatCode="0.00%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06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theme="0"/>
      <name val="Arial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0"/>
      <color theme="0"/>
      <name val="Arial"/>
      <family val="2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00206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DDEBF7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W2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W7" activeCellId="0" sqref="W7"/>
    </sheetView>
  </sheetViews>
  <sheetFormatPr defaultColWidth="12.5703125" defaultRowHeight="15.7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2" width="11"/>
    <col collapsed="false" customWidth="true" hidden="false" outlineLevel="0" max="3" min="3" style="3" width="9"/>
    <col collapsed="false" customWidth="true" hidden="false" outlineLevel="0" max="4" min="4" style="3" width="12"/>
    <col collapsed="false" customWidth="true" hidden="false" outlineLevel="0" max="5" min="5" style="3" width="13"/>
    <col collapsed="false" customWidth="true" hidden="false" outlineLevel="0" max="6" min="6" style="1" width="13"/>
    <col collapsed="false" customWidth="true" hidden="false" outlineLevel="0" max="7" min="7" style="2" width="11"/>
    <col collapsed="false" customWidth="true" hidden="false" outlineLevel="0" max="8" min="8" style="3" width="9"/>
    <col collapsed="false" customWidth="true" hidden="false" outlineLevel="0" max="9" min="9" style="3" width="12"/>
    <col collapsed="false" customWidth="true" hidden="false" outlineLevel="0" max="10" min="10" style="3" width="13"/>
    <col collapsed="false" customWidth="true" hidden="false" outlineLevel="0" max="11" min="11" style="1" width="13"/>
    <col collapsed="false" customWidth="true" hidden="false" outlineLevel="0" max="12" min="12" style="2" width="11"/>
    <col collapsed="false" customWidth="true" hidden="false" outlineLevel="0" max="13" min="13" style="3" width="9"/>
    <col collapsed="false" customWidth="true" hidden="false" outlineLevel="0" max="14" min="14" style="1" width="12"/>
    <col collapsed="false" customWidth="true" hidden="false" outlineLevel="0" max="16" min="15" style="1" width="13"/>
    <col collapsed="false" customWidth="true" hidden="false" outlineLevel="0" max="17" min="17" style="1" width="3"/>
    <col collapsed="false" customWidth="true" hidden="false" outlineLevel="0" max="20" min="18" style="1" width="16"/>
    <col collapsed="false" customWidth="true" hidden="false" outlineLevel="0" max="21" min="21" style="1" width="3"/>
    <col collapsed="false" customWidth="true" hidden="false" outlineLevel="0" max="23" min="22" style="1" width="14"/>
  </cols>
  <sheetData>
    <row r="1" customFormat="false" ht="7.5" hidden="false" customHeight="true" outlineLevel="0" collapsed="false">
      <c r="B1" s="4"/>
    </row>
    <row r="2" customFormat="false" ht="25.5" hidden="false" customHeight="true" outlineLevel="0" collapsed="false">
      <c r="B2" s="5" t="s">
        <v>0</v>
      </c>
      <c r="C2" s="6"/>
      <c r="D2" s="6"/>
      <c r="E2" s="6"/>
      <c r="F2" s="7"/>
      <c r="G2" s="8"/>
      <c r="H2" s="6"/>
      <c r="I2" s="6"/>
      <c r="J2" s="6"/>
      <c r="K2" s="7"/>
      <c r="L2" s="8"/>
      <c r="M2" s="6"/>
      <c r="N2" s="7"/>
      <c r="O2" s="7"/>
      <c r="P2" s="7"/>
      <c r="R2" s="9" t="s">
        <v>1</v>
      </c>
      <c r="S2" s="9"/>
      <c r="T2" s="9"/>
      <c r="V2" s="10"/>
      <c r="W2" s="10"/>
    </row>
    <row r="3" customFormat="false" ht="15.75" hidden="false" customHeight="true" outlineLevel="0" collapsed="false">
      <c r="B3" s="11" t="s">
        <v>2</v>
      </c>
      <c r="C3" s="6"/>
      <c r="D3" s="6"/>
      <c r="E3" s="6"/>
      <c r="F3" s="7"/>
      <c r="G3" s="8"/>
      <c r="H3" s="6"/>
      <c r="I3" s="6"/>
      <c r="J3" s="6"/>
      <c r="K3" s="7"/>
      <c r="L3" s="8"/>
      <c r="M3" s="6"/>
      <c r="N3" s="7"/>
      <c r="O3" s="7"/>
      <c r="P3" s="7"/>
      <c r="R3" s="9"/>
      <c r="S3" s="9"/>
      <c r="T3" s="9"/>
      <c r="V3" s="12" t="s">
        <v>3</v>
      </c>
      <c r="W3" s="12"/>
    </row>
    <row r="4" customFormat="false" ht="15.75" hidden="false" customHeight="true" outlineLevel="0" collapsed="false">
      <c r="B4" s="13" t="s">
        <v>4</v>
      </c>
      <c r="C4" s="13"/>
      <c r="D4" s="13"/>
      <c r="E4" s="13"/>
      <c r="F4" s="13"/>
      <c r="G4" s="13" t="s">
        <v>5</v>
      </c>
      <c r="H4" s="13"/>
      <c r="I4" s="13"/>
      <c r="J4" s="13"/>
      <c r="K4" s="13"/>
      <c r="L4" s="13" t="s">
        <v>6</v>
      </c>
      <c r="M4" s="13"/>
      <c r="N4" s="13"/>
      <c r="O4" s="13"/>
      <c r="P4" s="13"/>
      <c r="R4" s="9"/>
      <c r="S4" s="9"/>
      <c r="T4" s="9"/>
      <c r="V4" s="14" t="s">
        <v>7</v>
      </c>
      <c r="W4" s="14" t="s">
        <v>8</v>
      </c>
    </row>
    <row r="5" customFormat="false" ht="30" hidden="false" customHeight="true" outlineLevel="0" collapsed="false">
      <c r="B5" s="15" t="str">
        <f aca="false">IFERROR(__xludf.dummyfunction("GOOGLEFINANCE(""TSE:XIU"",""CLOSE"",TODAY()-365,TODAY(),""DAILY"")"),"Date")</f>
        <v>Date</v>
      </c>
      <c r="C5" s="16" t="str">
        <f aca="false">IFERROR(__xludf.dummyfunction("""COMPUTED_VALUE"""),"Close")</f>
        <v>Close</v>
      </c>
      <c r="D5" s="16" t="s">
        <v>9</v>
      </c>
      <c r="E5" s="16" t="s">
        <v>10</v>
      </c>
      <c r="F5" s="16" t="s">
        <v>11</v>
      </c>
      <c r="G5" s="15" t="str">
        <f aca="false">IFERROR(__xludf.dummyfunction("GOOGLEFINANCE(""TSE:ZAG"",""close"",TODAY()-365,TODAY(),""DAILY"")"),"Date")</f>
        <v>Date</v>
      </c>
      <c r="H5" s="16" t="str">
        <f aca="false">IFERROR(__xludf.dummyfunction("""COMPUTED_VALUE"""),"Close")</f>
        <v>Close</v>
      </c>
      <c r="I5" s="16" t="s">
        <v>9</v>
      </c>
      <c r="J5" s="16" t="s">
        <v>12</v>
      </c>
      <c r="K5" s="16" t="s">
        <v>11</v>
      </c>
      <c r="L5" s="15" t="str">
        <f aca="false">IFERROR(__xludf.dummyfunction("GOOGLEFINANCE(""TSE:CGL"",""close"",TODAY()-365,TODAY(),""DAILY"")"),"Date")</f>
        <v>Date</v>
      </c>
      <c r="M5" s="16" t="str">
        <f aca="false">IFERROR(__xludf.dummyfunction("""COMPUTED_VALUE"""),"Close")</f>
        <v>Close</v>
      </c>
      <c r="N5" s="16" t="s">
        <v>13</v>
      </c>
      <c r="O5" s="16" t="s">
        <v>10</v>
      </c>
      <c r="P5" s="16" t="s">
        <v>11</v>
      </c>
      <c r="R5" s="16" t="s">
        <v>14</v>
      </c>
      <c r="S5" s="16" t="s">
        <v>15</v>
      </c>
      <c r="T5" s="16" t="s">
        <v>16</v>
      </c>
      <c r="V5" s="16" t="s">
        <v>17</v>
      </c>
      <c r="W5" s="16" t="s">
        <v>18</v>
      </c>
    </row>
    <row r="6" customFormat="false" ht="12.75" hidden="false" customHeight="true" outlineLevel="0" collapsed="false">
      <c r="B6" s="17" t="n">
        <f aca="false">IFERROR(__xludf.dummyfunction("""COMPUTED_VALUE"""),45936.6666666666)</f>
        <v>45936.6666666666</v>
      </c>
      <c r="C6" s="18" t="n">
        <f aca="false">IFERROR(__xludf.dummyfunction("""COMPUTED_VALUE"""),45.52)</f>
        <v>45.52</v>
      </c>
      <c r="D6" s="19"/>
      <c r="E6" s="20"/>
      <c r="G6" s="17" t="n">
        <f aca="false">IFERROR(__xludf.dummyfunction("""COMPUTED_VALUE"""),45936.6666666666)</f>
        <v>45936.6666666666</v>
      </c>
      <c r="H6" s="18" t="n">
        <f aca="false">IFERROR(__xludf.dummyfunction("""COMPUTED_VALUE"""),13.91)</f>
        <v>13.91</v>
      </c>
      <c r="I6" s="19"/>
      <c r="J6" s="20"/>
      <c r="L6" s="17" t="n">
        <f aca="false">IFERROR(__xludf.dummyfunction("""COMPUTED_VALUE"""),45936.6666666666)</f>
        <v>45936.6666666666</v>
      </c>
      <c r="M6" s="18" t="n">
        <f aca="false">IFERROR(__xludf.dummyfunction("""COMPUTED_VALUE"""),30.73)</f>
        <v>30.73</v>
      </c>
      <c r="N6" s="19"/>
      <c r="R6" s="21"/>
      <c r="S6" s="21"/>
      <c r="T6" s="21"/>
      <c r="V6" s="19"/>
      <c r="W6" s="19"/>
    </row>
    <row r="7" customFormat="false" ht="12.75" hidden="false" customHeight="true" outlineLevel="0" collapsed="false">
      <c r="B7" s="17" t="n">
        <f aca="false">IFERROR(__xludf.dummyfunction("""COMPUTED_VALUE"""),45937.6666666666)</f>
        <v>45937.6666666666</v>
      </c>
      <c r="C7" s="18" t="n">
        <f aca="false">IFERROR(__xludf.dummyfunction("""COMPUTED_VALUE"""),45.27)</f>
        <v>45.27</v>
      </c>
      <c r="D7" s="19" t="n">
        <f aca="false">IFERROR(C7/C6-1,0)</f>
        <v>-0.00549209138840068</v>
      </c>
      <c r="E7" s="22" t="n">
        <f aca="false">IFERROR(_xlfn.STDEV.S($D$7:$D$255),0)</f>
        <v>0.00785170250823977</v>
      </c>
      <c r="F7" s="22" t="n">
        <f aca="false">IFERROR(E7*SQRT(252),0)</f>
        <v>0.124641913231587</v>
      </c>
      <c r="G7" s="17" t="n">
        <f aca="false">IFERROR(__xludf.dummyfunction("""COMPUTED_VALUE"""),45937.6666666666)</f>
        <v>45937.6666666666</v>
      </c>
      <c r="H7" s="18" t="n">
        <f aca="false">IFERROR(__xludf.dummyfunction("""COMPUTED_VALUE"""),13.92)</f>
        <v>13.92</v>
      </c>
      <c r="I7" s="19" t="n">
        <f aca="false">IFERROR(H7/H6-1,0)</f>
        <v>0.000718907260963242</v>
      </c>
      <c r="J7" s="22" t="n">
        <f aca="false">IFERROR(_xlfn.STDEV.S(I7:I255),0)</f>
        <v>0.00298818701764451</v>
      </c>
      <c r="K7" s="22" t="n">
        <f aca="false">IFERROR(J7*SQRT(252),0)</f>
        <v>0.0474359983178349</v>
      </c>
      <c r="L7" s="17" t="n">
        <f aca="false">IFERROR(__xludf.dummyfunction("""COMPUTED_VALUE"""),45937.6666666666)</f>
        <v>45937.6666666666</v>
      </c>
      <c r="M7" s="18" t="n">
        <f aca="false">IFERROR(__xludf.dummyfunction("""COMPUTED_VALUE"""),30.83)</f>
        <v>30.83</v>
      </c>
      <c r="N7" s="19" t="n">
        <f aca="false">IFERROR(M7/M6-1,0)</f>
        <v>0.00325414904002597</v>
      </c>
      <c r="O7" s="22" t="n">
        <f aca="false">IFERROR(_xlfn.STDEV.S(N7:N255),0)</f>
        <v>0.0189480589594472</v>
      </c>
      <c r="P7" s="22" t="n">
        <f aca="false">IFERROR(O7*SQRT(252),0)</f>
        <v>0.30079111100452</v>
      </c>
      <c r="R7" s="23" t="n">
        <f aca="false">IFERROR(CORREL(D7:D255,I7:I255),0)</f>
        <v>0.405584772112307</v>
      </c>
      <c r="S7" s="23" t="n">
        <f aca="false">IFERROR(CORREL(I7:I255,N7:N255),0)</f>
        <v>0.191108332068727</v>
      </c>
      <c r="T7" s="23" t="n">
        <f aca="false">IFERROR(CORREL(N7:N255,D7:D255),0)</f>
        <v>0.564089557866391</v>
      </c>
      <c r="V7" s="19" t="n">
        <f aca="false">IFERROR((D7+I7+N7)/3,0)</f>
        <v>-0.000506345029137156</v>
      </c>
      <c r="W7" s="19" t="n">
        <f aca="false">IFERROR(0.3*D7+0.6*I7+0.1*N7,0)</f>
        <v>-0.000890868155939661</v>
      </c>
    </row>
    <row r="8" customFormat="false" ht="12.75" hidden="false" customHeight="true" outlineLevel="0" collapsed="false">
      <c r="B8" s="17" t="n">
        <f aca="false">IFERROR(__xludf.dummyfunction("""COMPUTED_VALUE"""),45938.6666666666)</f>
        <v>45938.6666666666</v>
      </c>
      <c r="C8" s="18" t="n">
        <f aca="false">IFERROR(__xludf.dummyfunction("""COMPUTED_VALUE"""),45.34)</f>
        <v>45.34</v>
      </c>
      <c r="D8" s="19" t="n">
        <f aca="false">IFERROR(C8/C7-1,0)</f>
        <v>0.00154627788822626</v>
      </c>
      <c r="E8" s="20"/>
      <c r="G8" s="17" t="n">
        <f aca="false">IFERROR(__xludf.dummyfunction("""COMPUTED_VALUE"""),45938.6666666666)</f>
        <v>45938.6666666666</v>
      </c>
      <c r="H8" s="18" t="n">
        <f aca="false">IFERROR(__xludf.dummyfunction("""COMPUTED_VALUE"""),13.92)</f>
        <v>13.92</v>
      </c>
      <c r="I8" s="19" t="n">
        <f aca="false">IFERROR(H8/H7-1,0)</f>
        <v>0</v>
      </c>
      <c r="J8" s="20"/>
      <c r="L8" s="17" t="n">
        <f aca="false">IFERROR(__xludf.dummyfunction("""COMPUTED_VALUE"""),45938.6666666666)</f>
        <v>45938.6666666666</v>
      </c>
      <c r="M8" s="18" t="n">
        <f aca="false">IFERROR(__xludf.dummyfunction("""COMPUTED_VALUE"""),31.4)</f>
        <v>31.4</v>
      </c>
      <c r="N8" s="19" t="n">
        <f aca="false">IFERROR(M8/M7-1,0)</f>
        <v>0.0184884852416478</v>
      </c>
      <c r="V8" s="19" t="n">
        <f aca="false">IFERROR((D8+I8+N8)/3,0)</f>
        <v>0.00667825437662469</v>
      </c>
      <c r="W8" s="19" t="n">
        <f aca="false">IFERROR(0.3*D8+0.6*I8+0.1*N8,0)</f>
        <v>0.00231273189063266</v>
      </c>
    </row>
    <row r="9" customFormat="false" ht="12.75" hidden="false" customHeight="true" outlineLevel="0" collapsed="false">
      <c r="B9" s="17" t="n">
        <f aca="false">IFERROR(__xludf.dummyfunction("""COMPUTED_VALUE"""),45939.6666666666)</f>
        <v>45939.6666666666</v>
      </c>
      <c r="C9" s="18" t="n">
        <f aca="false">IFERROR(__xludf.dummyfunction("""COMPUTED_VALUE"""),45.08)</f>
        <v>45.08</v>
      </c>
      <c r="D9" s="19" t="n">
        <f aca="false">IFERROR(C9/C8-1,0)</f>
        <v>-0.00573445081605661</v>
      </c>
      <c r="E9" s="20"/>
      <c r="G9" s="17" t="n">
        <f aca="false">IFERROR(__xludf.dummyfunction("""COMPUTED_VALUE"""),45939.6666666666)</f>
        <v>45939.6666666666</v>
      </c>
      <c r="H9" s="18" t="n">
        <f aca="false">IFERROR(__xludf.dummyfunction("""COMPUTED_VALUE"""),13.91)</f>
        <v>13.91</v>
      </c>
      <c r="I9" s="19" t="n">
        <f aca="false">IFERROR(H9/H8-1,0)</f>
        <v>-0.00071839080459768</v>
      </c>
      <c r="J9" s="20"/>
      <c r="L9" s="17" t="n">
        <f aca="false">IFERROR(__xludf.dummyfunction("""COMPUTED_VALUE"""),45939.6666666666)</f>
        <v>45939.6666666666</v>
      </c>
      <c r="M9" s="18" t="n">
        <f aca="false">IFERROR(__xludf.dummyfunction("""COMPUTED_VALUE"""),30.83)</f>
        <v>30.83</v>
      </c>
      <c r="N9" s="19" t="n">
        <f aca="false">IFERROR(M9/M8-1,0)</f>
        <v>-0.0181528662420383</v>
      </c>
      <c r="R9" s="7"/>
      <c r="S9" s="7"/>
      <c r="T9" s="7"/>
      <c r="V9" s="19" t="n">
        <f aca="false">IFERROR((D9+I9+N9)/3,0)</f>
        <v>-0.00820190262089752</v>
      </c>
      <c r="W9" s="19" t="n">
        <f aca="false">IFERROR(0.3*D9+0.6*I9+0.1*N9,0)</f>
        <v>-0.00396665635177942</v>
      </c>
    </row>
    <row r="10" customFormat="false" ht="12.75" hidden="false" customHeight="true" outlineLevel="0" collapsed="false">
      <c r="B10" s="17" t="n">
        <f aca="false">IFERROR(__xludf.dummyfunction("""COMPUTED_VALUE"""),45940.6666666666)</f>
        <v>45940.6666666666</v>
      </c>
      <c r="C10" s="18" t="n">
        <f aca="false">IFERROR(__xludf.dummyfunction("""COMPUTED_VALUE"""),44.45)</f>
        <v>44.45</v>
      </c>
      <c r="D10" s="19" t="n">
        <f aca="false">IFERROR(C10/C9-1,0)</f>
        <v>-0.013975155279503</v>
      </c>
      <c r="E10" s="20"/>
      <c r="G10" s="17" t="n">
        <f aca="false">IFERROR(__xludf.dummyfunction("""COMPUTED_VALUE"""),45940.6666666666)</f>
        <v>45940.6666666666</v>
      </c>
      <c r="H10" s="18" t="n">
        <f aca="false">IFERROR(__xludf.dummyfunction("""COMPUTED_VALUE"""),13.95)</f>
        <v>13.95</v>
      </c>
      <c r="I10" s="19" t="n">
        <f aca="false">IFERROR(H10/H9-1,0)</f>
        <v>0.00287562904385319</v>
      </c>
      <c r="J10" s="20"/>
      <c r="L10" s="17" t="n">
        <f aca="false">IFERROR(__xludf.dummyfunction("""COMPUTED_VALUE"""),45940.6666666666)</f>
        <v>45940.6666666666</v>
      </c>
      <c r="M10" s="18" t="n">
        <f aca="false">IFERROR(__xludf.dummyfunction("""COMPUTED_VALUE"""),31.15)</f>
        <v>31.15</v>
      </c>
      <c r="N10" s="19" t="n">
        <f aca="false">IFERROR(M10/M9-1,0)</f>
        <v>0.010379500486539</v>
      </c>
      <c r="R10" s="7"/>
      <c r="S10" s="7"/>
      <c r="T10" s="7"/>
      <c r="V10" s="19" t="n">
        <f aca="false">IFERROR((D10+I10+N10)/3,0)</f>
        <v>-0.000240008583036929</v>
      </c>
      <c r="W10" s="19" t="n">
        <f aca="false">IFERROR(0.3*D10+0.6*I10+0.1*N10,0)</f>
        <v>-0.00142921910888508</v>
      </c>
    </row>
    <row r="11" customFormat="false" ht="12.75" hidden="false" customHeight="true" outlineLevel="0" collapsed="false">
      <c r="B11" s="17" t="n">
        <f aca="false">IFERROR(__xludf.dummyfunction("""COMPUTED_VALUE"""),45944.6666666666)</f>
        <v>45944.6666666666</v>
      </c>
      <c r="C11" s="18" t="n">
        <f aca="false">IFERROR(__xludf.dummyfunction("""COMPUTED_VALUE"""),45.13)</f>
        <v>45.13</v>
      </c>
      <c r="D11" s="19" t="n">
        <f aca="false">IFERROR(C11/C10-1,0)</f>
        <v>0.0152980877390325</v>
      </c>
      <c r="E11" s="20"/>
      <c r="G11" s="17" t="n">
        <f aca="false">IFERROR(__xludf.dummyfunction("""COMPUTED_VALUE"""),45944.6666666666)</f>
        <v>45944.6666666666</v>
      </c>
      <c r="H11" s="18" t="n">
        <f aca="false">IFERROR(__xludf.dummyfunction("""COMPUTED_VALUE"""),13.96)</f>
        <v>13.96</v>
      </c>
      <c r="I11" s="19" t="n">
        <f aca="false">IFERROR(H11/H10-1,0)</f>
        <v>0.000716845878136363</v>
      </c>
      <c r="J11" s="20"/>
      <c r="L11" s="17" t="n">
        <f aca="false">IFERROR(__xludf.dummyfunction("""COMPUTED_VALUE"""),45944.6666666666)</f>
        <v>45944.6666666666</v>
      </c>
      <c r="M11" s="18" t="n">
        <f aca="false">IFERROR(__xludf.dummyfunction("""COMPUTED_VALUE"""),32.17)</f>
        <v>32.17</v>
      </c>
      <c r="N11" s="19" t="n">
        <f aca="false">IFERROR(M11/M10-1,0)</f>
        <v>0.0327447833065813</v>
      </c>
      <c r="R11" s="24"/>
      <c r="S11" s="25"/>
      <c r="T11" s="26"/>
      <c r="V11" s="19" t="n">
        <f aca="false">IFERROR((D11+I11+N11)/3,0)</f>
        <v>0.0162532389745834</v>
      </c>
      <c r="W11" s="19" t="n">
        <f aca="false">IFERROR(0.3*D11+0.6*I11+0.1*N11,0)</f>
        <v>0.0082940121792497</v>
      </c>
    </row>
    <row r="12" customFormat="false" ht="12.75" hidden="false" customHeight="true" outlineLevel="0" collapsed="false">
      <c r="B12" s="17" t="n">
        <f aca="false">IFERROR(__xludf.dummyfunction("""COMPUTED_VALUE"""),45945.6666666666)</f>
        <v>45945.6666666666</v>
      </c>
      <c r="C12" s="18" t="n">
        <f aca="false">IFERROR(__xludf.dummyfunction("""COMPUTED_VALUE"""),45.49)</f>
        <v>45.49</v>
      </c>
      <c r="D12" s="19" t="n">
        <f aca="false">IFERROR(C12/C11-1,0)</f>
        <v>0.00797695546199861</v>
      </c>
      <c r="E12" s="20"/>
      <c r="G12" s="17" t="n">
        <f aca="false">IFERROR(__xludf.dummyfunction("""COMPUTED_VALUE"""),45945.6666666666)</f>
        <v>45945.6666666666</v>
      </c>
      <c r="H12" s="18" t="n">
        <f aca="false">IFERROR(__xludf.dummyfunction("""COMPUTED_VALUE"""),14)</f>
        <v>14</v>
      </c>
      <c r="I12" s="19" t="n">
        <f aca="false">IFERROR(H12/H11-1,0)</f>
        <v>0.00286532951289398</v>
      </c>
      <c r="J12" s="20"/>
      <c r="L12" s="17" t="n">
        <f aca="false">IFERROR(__xludf.dummyfunction("""COMPUTED_VALUE"""),45945.6666666666)</f>
        <v>45945.6666666666</v>
      </c>
      <c r="M12" s="18" t="n">
        <f aca="false">IFERROR(__xludf.dummyfunction("""COMPUTED_VALUE"""),32.72)</f>
        <v>32.72</v>
      </c>
      <c r="N12" s="19" t="n">
        <f aca="false">IFERROR(M12/M11-1,0)</f>
        <v>0.0170966739198011</v>
      </c>
      <c r="R12" s="9" t="s">
        <v>19</v>
      </c>
      <c r="S12" s="9"/>
      <c r="T12" s="9"/>
      <c r="V12" s="19" t="n">
        <f aca="false">IFERROR((D12+I12+N12)/3,0)</f>
        <v>0.00931298629823122</v>
      </c>
      <c r="W12" s="19" t="n">
        <f aca="false">IFERROR(0.3*D12+0.6*I12+0.1*N12,0)</f>
        <v>0.00582195173831608</v>
      </c>
    </row>
    <row r="13" customFormat="false" ht="12.75" hidden="false" customHeight="true" outlineLevel="0" collapsed="false">
      <c r="B13" s="17" t="n">
        <f aca="false">IFERROR(__xludf.dummyfunction("""COMPUTED_VALUE"""),45946.6666666666)</f>
        <v>45946.6666666666</v>
      </c>
      <c r="C13" s="18" t="n">
        <f aca="false">IFERROR(__xludf.dummyfunction("""COMPUTED_VALUE"""),45.17)</f>
        <v>45.17</v>
      </c>
      <c r="D13" s="19" t="n">
        <f aca="false">IFERROR(C13/C12-1,0)</f>
        <v>-0.00703451307979774</v>
      </c>
      <c r="E13" s="20"/>
      <c r="G13" s="17" t="n">
        <f aca="false">IFERROR(__xludf.dummyfunction("""COMPUTED_VALUE"""),45946.6666666666)</f>
        <v>45946.6666666666</v>
      </c>
      <c r="H13" s="18" t="n">
        <f aca="false">IFERROR(__xludf.dummyfunction("""COMPUTED_VALUE"""),14.03)</f>
        <v>14.03</v>
      </c>
      <c r="I13" s="19" t="n">
        <f aca="false">IFERROR(H13/H12-1,0)</f>
        <v>0.002142857142857</v>
      </c>
      <c r="J13" s="20"/>
      <c r="L13" s="17" t="n">
        <f aca="false">IFERROR(__xludf.dummyfunction("""COMPUTED_VALUE"""),45946.6666666666)</f>
        <v>45946.6666666666</v>
      </c>
      <c r="M13" s="18" t="n">
        <f aca="false">IFERROR(__xludf.dummyfunction("""COMPUTED_VALUE"""),33.39)</f>
        <v>33.39</v>
      </c>
      <c r="N13" s="19" t="n">
        <f aca="false">IFERROR(M13/M12-1,0)</f>
        <v>0.020476772616137</v>
      </c>
      <c r="R13" s="14" t="s">
        <v>10</v>
      </c>
      <c r="S13" s="14" t="s">
        <v>11</v>
      </c>
      <c r="T13" s="14" t="s">
        <v>20</v>
      </c>
      <c r="V13" s="19" t="n">
        <f aca="false">IFERROR((D13+I13+N13)/3,0)</f>
        <v>0.00519503889306542</v>
      </c>
      <c r="W13" s="19" t="n">
        <f aca="false">IFERROR(0.3*D13+0.6*I13+0.1*N13,0)</f>
        <v>0.00122303762338858</v>
      </c>
    </row>
    <row r="14" customFormat="false" ht="12.75" hidden="false" customHeight="true" outlineLevel="0" collapsed="false">
      <c r="B14" s="17" t="n">
        <f aca="false">IFERROR(__xludf.dummyfunction("""COMPUTED_VALUE"""),45947.6666666666)</f>
        <v>45947.6666666666</v>
      </c>
      <c r="C14" s="18" t="n">
        <f aca="false">IFERROR(__xludf.dummyfunction("""COMPUTED_VALUE"""),44.81)</f>
        <v>44.81</v>
      </c>
      <c r="D14" s="19" t="n">
        <f aca="false">IFERROR(C14/C13-1,0)</f>
        <v>-0.00796989152092098</v>
      </c>
      <c r="E14" s="20"/>
      <c r="G14" s="17" t="n">
        <f aca="false">IFERROR(__xludf.dummyfunction("""COMPUTED_VALUE"""),45947.6666666666)</f>
        <v>45947.6666666666</v>
      </c>
      <c r="H14" s="18" t="n">
        <f aca="false">IFERROR(__xludf.dummyfunction("""COMPUTED_VALUE"""),14.03)</f>
        <v>14.03</v>
      </c>
      <c r="I14" s="19" t="n">
        <f aca="false">IFERROR(H14/H13-1,0)</f>
        <v>0</v>
      </c>
      <c r="J14" s="20"/>
      <c r="L14" s="17" t="n">
        <f aca="false">IFERROR(__xludf.dummyfunction("""COMPUTED_VALUE"""),45947.6666666666)</f>
        <v>45947.6666666666</v>
      </c>
      <c r="M14" s="18" t="n">
        <f aca="false">IFERROR(__xludf.dummyfunction("""COMPUTED_VALUE"""),32.71)</f>
        <v>32.71</v>
      </c>
      <c r="N14" s="19" t="n">
        <f aca="false">IFERROR(M14/M13-1,0)</f>
        <v>-0.0203653788559449</v>
      </c>
      <c r="R14" s="22" t="n">
        <f aca="false">IFERROR(_xlfn.STDEV.S(V7:V255),0)</f>
        <v>0.00842037824530025</v>
      </c>
      <c r="S14" s="22" t="n">
        <f aca="false">IFERROR(R14*SQRT(252),0)</f>
        <v>0.133669360692977</v>
      </c>
      <c r="T14" s="27" t="s">
        <v>21</v>
      </c>
      <c r="V14" s="19" t="n">
        <f aca="false">IFERROR((D14+I14+N14)/3,0)</f>
        <v>-0.00944509012562197</v>
      </c>
      <c r="W14" s="19" t="n">
        <f aca="false">IFERROR(0.3*D14+0.6*I14+0.1*N14,0)</f>
        <v>-0.00442750534187079</v>
      </c>
    </row>
    <row r="15" customFormat="false" ht="12.75" hidden="false" customHeight="true" outlineLevel="0" collapsed="false">
      <c r="B15" s="17" t="n">
        <f aca="false">IFERROR(__xludf.dummyfunction("""COMPUTED_VALUE"""),45950.6666666666)</f>
        <v>45950.6666666666</v>
      </c>
      <c r="C15" s="18" t="n">
        <f aca="false">IFERROR(__xludf.dummyfunction("""COMPUTED_VALUE"""),45.26)</f>
        <v>45.26</v>
      </c>
      <c r="D15" s="19" t="n">
        <f aca="false">IFERROR(C15/C14-1,0)</f>
        <v>0.0100424012497209</v>
      </c>
      <c r="E15" s="20"/>
      <c r="G15" s="17" t="n">
        <f aca="false">IFERROR(__xludf.dummyfunction("""COMPUTED_VALUE"""),45950.6666666666)</f>
        <v>45950.6666666666</v>
      </c>
      <c r="H15" s="18" t="n">
        <f aca="false">IFERROR(__xludf.dummyfunction("""COMPUTED_VALUE"""),14.07)</f>
        <v>14.07</v>
      </c>
      <c r="I15" s="19" t="n">
        <f aca="false">IFERROR(H15/H14-1,0)</f>
        <v>0.00285103349964366</v>
      </c>
      <c r="J15" s="20"/>
      <c r="L15" s="17" t="n">
        <f aca="false">IFERROR(__xludf.dummyfunction("""COMPUTED_VALUE"""),45950.6666666666)</f>
        <v>45950.6666666666</v>
      </c>
      <c r="M15" s="18" t="n">
        <f aca="false">IFERROR(__xludf.dummyfunction("""COMPUTED_VALUE"""),33.96)</f>
        <v>33.96</v>
      </c>
      <c r="N15" s="19" t="n">
        <f aca="false">IFERROR(M15/M14-1,0)</f>
        <v>0.0382146132681138</v>
      </c>
      <c r="R15" s="22" t="n">
        <f aca="false">IFERROR(_xlfn.STDEV.S(W7:W255),0)</f>
        <v>0.00470242583783168</v>
      </c>
      <c r="S15" s="22" t="n">
        <f aca="false">IFERROR(R15*SQRT(252),0)</f>
        <v>0.0746486959537631</v>
      </c>
      <c r="T15" s="27" t="s">
        <v>8</v>
      </c>
      <c r="V15" s="19" t="n">
        <f aca="false">IFERROR((D15+I15+N15)/3,0)</f>
        <v>0.0170360160058261</v>
      </c>
      <c r="W15" s="19" t="n">
        <f aca="false">IFERROR(0.3*D15+0.6*I15+0.1*N15,0)</f>
        <v>0.00854480180151385</v>
      </c>
    </row>
    <row r="16" customFormat="false" ht="12.75" hidden="false" customHeight="true" outlineLevel="0" collapsed="false">
      <c r="B16" s="17" t="n">
        <f aca="false">IFERROR(__xludf.dummyfunction("""COMPUTED_VALUE"""),45951.6666666666)</f>
        <v>45951.6666666666</v>
      </c>
      <c r="C16" s="18" t="n">
        <f aca="false">IFERROR(__xludf.dummyfunction("""COMPUTED_VALUE"""),44.64)</f>
        <v>44.64</v>
      </c>
      <c r="D16" s="19" t="n">
        <f aca="false">IFERROR(C16/C15-1,0)</f>
        <v>-0.0136986301369862</v>
      </c>
      <c r="E16" s="20"/>
      <c r="G16" s="17" t="n">
        <f aca="false">IFERROR(__xludf.dummyfunction("""COMPUTED_VALUE"""),45951.6666666666)</f>
        <v>45951.6666666666</v>
      </c>
      <c r="H16" s="18" t="n">
        <f aca="false">IFERROR(__xludf.dummyfunction("""COMPUTED_VALUE"""),14.05)</f>
        <v>14.05</v>
      </c>
      <c r="I16" s="19" t="n">
        <f aca="false">IFERROR(H16/H15-1,0)</f>
        <v>-0.00142146410803123</v>
      </c>
      <c r="J16" s="20"/>
      <c r="L16" s="17" t="n">
        <f aca="false">IFERROR(__xludf.dummyfunction("""COMPUTED_VALUE"""),45951.6666666666)</f>
        <v>45951.6666666666</v>
      </c>
      <c r="M16" s="18" t="n">
        <f aca="false">IFERROR(__xludf.dummyfunction("""COMPUTED_VALUE"""),31.78)</f>
        <v>31.78</v>
      </c>
      <c r="N16" s="19" t="n">
        <f aca="false">IFERROR(M16/M15-1,0)</f>
        <v>-0.0641931684334511</v>
      </c>
      <c r="V16" s="19" t="n">
        <f aca="false">IFERROR((D16+I16+N16)/3,0)</f>
        <v>-0.0264377542261562</v>
      </c>
      <c r="W16" s="19" t="n">
        <f aca="false">IFERROR(0.3*D16+0.6*I16+0.1*N16,0)</f>
        <v>-0.0113817843492597</v>
      </c>
    </row>
    <row r="17" customFormat="false" ht="12.75" hidden="false" customHeight="true" outlineLevel="0" collapsed="false">
      <c r="B17" s="17" t="n">
        <f aca="false">IFERROR(__xludf.dummyfunction("""COMPUTED_VALUE"""),45952.6666666666)</f>
        <v>45952.6666666666</v>
      </c>
      <c r="C17" s="18" t="n">
        <f aca="false">IFERROR(__xludf.dummyfunction("""COMPUTED_VALUE"""),44.76)</f>
        <v>44.76</v>
      </c>
      <c r="D17" s="19" t="n">
        <f aca="false">IFERROR(C17/C16-1,0)</f>
        <v>0.00268817204301075</v>
      </c>
      <c r="E17" s="20"/>
      <c r="G17" s="17" t="n">
        <f aca="false">IFERROR(__xludf.dummyfunction("""COMPUTED_VALUE"""),45952.6666666666)</f>
        <v>45952.6666666666</v>
      </c>
      <c r="H17" s="18" t="n">
        <f aca="false">IFERROR(__xludf.dummyfunction("""COMPUTED_VALUE"""),14.06)</f>
        <v>14.06</v>
      </c>
      <c r="I17" s="19" t="n">
        <f aca="false">IFERROR(H17/H16-1,0)</f>
        <v>0.000711743772241924</v>
      </c>
      <c r="J17" s="20"/>
      <c r="L17" s="17" t="n">
        <f aca="false">IFERROR(__xludf.dummyfunction("""COMPUTED_VALUE"""),45952.6666666666)</f>
        <v>45952.6666666666</v>
      </c>
      <c r="M17" s="18" t="n">
        <f aca="false">IFERROR(__xludf.dummyfunction("""COMPUTED_VALUE"""),31.8)</f>
        <v>31.8</v>
      </c>
      <c r="N17" s="19" t="n">
        <f aca="false">IFERROR(M17/M16-1,0)</f>
        <v>0.000629326620515958</v>
      </c>
      <c r="V17" s="19" t="n">
        <f aca="false">IFERROR((D17+I17+N17)/3,0)</f>
        <v>0.00134308081192288</v>
      </c>
      <c r="W17" s="19" t="n">
        <f aca="false">IFERROR(0.3*D17+0.6*I17+0.1*N17,0)</f>
        <v>0.00129643053829998</v>
      </c>
    </row>
    <row r="18" customFormat="false" ht="12.75" hidden="false" customHeight="true" outlineLevel="0" collapsed="false">
      <c r="B18" s="17" t="n">
        <f aca="false">IFERROR(__xludf.dummyfunction("""COMPUTED_VALUE"""),45953.6666666666)</f>
        <v>45953.6666666666</v>
      </c>
      <c r="C18" s="18" t="n">
        <f aca="false">IFERROR(__xludf.dummyfunction("""COMPUTED_VALUE"""),45.03)</f>
        <v>45.03</v>
      </c>
      <c r="D18" s="19" t="n">
        <f aca="false">IFERROR(C18/C17-1,0)</f>
        <v>0.0060321715817695</v>
      </c>
      <c r="E18" s="20"/>
      <c r="G18" s="17" t="n">
        <f aca="false">IFERROR(__xludf.dummyfunction("""COMPUTED_VALUE"""),45953.6666666666)</f>
        <v>45953.6666666666</v>
      </c>
      <c r="H18" s="18" t="n">
        <f aca="false">IFERROR(__xludf.dummyfunction("""COMPUTED_VALUE"""),14.04)</f>
        <v>14.04</v>
      </c>
      <c r="I18" s="19" t="n">
        <f aca="false">IFERROR(H18/H17-1,0)</f>
        <v>-0.00142247510668569</v>
      </c>
      <c r="J18" s="20"/>
      <c r="L18" s="17" t="n">
        <f aca="false">IFERROR(__xludf.dummyfunction("""COMPUTED_VALUE"""),45953.6666666666)</f>
        <v>45953.6666666666</v>
      </c>
      <c r="M18" s="18" t="n">
        <f aca="false">IFERROR(__xludf.dummyfunction("""COMPUTED_VALUE"""),31.84)</f>
        <v>31.84</v>
      </c>
      <c r="N18" s="19" t="n">
        <f aca="false">IFERROR(M18/M17-1,0)</f>
        <v>0.00125786163522013</v>
      </c>
      <c r="V18" s="19" t="n">
        <f aca="false">IFERROR((D18+I18+N18)/3,0)</f>
        <v>0.00195585270343464</v>
      </c>
      <c r="W18" s="19" t="n">
        <f aca="false">IFERROR(0.3*D18+0.6*I18+0.1*N18,0)</f>
        <v>0.00108195257404144</v>
      </c>
    </row>
    <row r="19" customFormat="false" ht="12.75" hidden="false" customHeight="true" outlineLevel="0" collapsed="false">
      <c r="B19" s="17" t="n">
        <f aca="false">IFERROR(__xludf.dummyfunction("""COMPUTED_VALUE"""),45954.6666666666)</f>
        <v>45954.6666666666</v>
      </c>
      <c r="C19" s="18" t="n">
        <f aca="false">IFERROR(__xludf.dummyfunction("""COMPUTED_VALUE"""),45.28)</f>
        <v>45.28</v>
      </c>
      <c r="D19" s="19" t="n">
        <f aca="false">IFERROR(C19/C18-1,0)</f>
        <v>0.00555185431934269</v>
      </c>
      <c r="E19" s="20"/>
      <c r="G19" s="17" t="n">
        <f aca="false">IFERROR(__xludf.dummyfunction("""COMPUTED_VALUE"""),45954.6666666666)</f>
        <v>45954.6666666666</v>
      </c>
      <c r="H19" s="18" t="n">
        <f aca="false">IFERROR(__xludf.dummyfunction("""COMPUTED_VALUE"""),14.03)</f>
        <v>14.03</v>
      </c>
      <c r="I19" s="19" t="n">
        <f aca="false">IFERROR(H19/H18-1,0)</f>
        <v>-0.000712250712250673</v>
      </c>
      <c r="J19" s="20"/>
      <c r="L19" s="17" t="n">
        <f aca="false">IFERROR(__xludf.dummyfunction("""COMPUTED_VALUE"""),45954.6666666666)</f>
        <v>45954.6666666666</v>
      </c>
      <c r="M19" s="18" t="n">
        <f aca="false">IFERROR(__xludf.dummyfunction("""COMPUTED_VALUE"""),31.76)</f>
        <v>31.76</v>
      </c>
      <c r="N19" s="19" t="n">
        <f aca="false">IFERROR(M19/M18-1,0)</f>
        <v>-0.00251256281407031</v>
      </c>
      <c r="V19" s="19" t="n">
        <f aca="false">IFERROR((D19+I19+N19)/3,0)</f>
        <v>0.000775680264340569</v>
      </c>
      <c r="W19" s="19" t="n">
        <f aca="false">IFERROR(0.3*D19+0.6*I19+0.1*N19,0)</f>
        <v>0.000986949587045371</v>
      </c>
    </row>
    <row r="20" customFormat="false" ht="12.75" hidden="false" customHeight="true" outlineLevel="0" collapsed="false">
      <c r="B20" s="17" t="n">
        <f aca="false">IFERROR(__xludf.dummyfunction("""COMPUTED_VALUE"""),45957.6666666666)</f>
        <v>45957.6666666666</v>
      </c>
      <c r="C20" s="18" t="n">
        <f aca="false">IFERROR(__xludf.dummyfunction("""COMPUTED_VALUE"""),45.29)</f>
        <v>45.29</v>
      </c>
      <c r="D20" s="19" t="n">
        <f aca="false">IFERROR(C20/C19-1,0)</f>
        <v>0.000220848056537104</v>
      </c>
      <c r="E20" s="20"/>
      <c r="G20" s="17" t="n">
        <f aca="false">IFERROR(__xludf.dummyfunction("""COMPUTED_VALUE"""),45957.6666666666)</f>
        <v>45957.6666666666</v>
      </c>
      <c r="H20" s="18" t="n">
        <f aca="false">IFERROR(__xludf.dummyfunction("""COMPUTED_VALUE"""),14.09)</f>
        <v>14.09</v>
      </c>
      <c r="I20" s="19" t="n">
        <f aca="false">IFERROR(H20/H19-1,0)</f>
        <v>0.00427655024946549</v>
      </c>
      <c r="J20" s="20"/>
      <c r="L20" s="17" t="n">
        <f aca="false">IFERROR(__xludf.dummyfunction("""COMPUTED_VALUE"""),45957.6666666666)</f>
        <v>45957.6666666666</v>
      </c>
      <c r="M20" s="18" t="n">
        <f aca="false">IFERROR(__xludf.dummyfunction("""COMPUTED_VALUE"""),30.84)</f>
        <v>30.84</v>
      </c>
      <c r="N20" s="19" t="n">
        <f aca="false">IFERROR(M20/M19-1,0)</f>
        <v>-0.0289672544080605</v>
      </c>
      <c r="V20" s="19" t="n">
        <f aca="false">IFERROR((D20+I20+N20)/3,0)</f>
        <v>-0.00815661870068596</v>
      </c>
      <c r="W20" s="19" t="n">
        <f aca="false">IFERROR(0.3*D20+0.6*I20+0.1*N20,0)</f>
        <v>-0.000264540874165619</v>
      </c>
    </row>
    <row r="21" customFormat="false" ht="12.75" hidden="false" customHeight="true" outlineLevel="0" collapsed="false">
      <c r="B21" s="17" t="n">
        <f aca="false">IFERROR(__xludf.dummyfunction("""COMPUTED_VALUE"""),45958.6666666666)</f>
        <v>45958.6666666666</v>
      </c>
      <c r="C21" s="18" t="n">
        <f aca="false">IFERROR(__xludf.dummyfunction("""COMPUTED_VALUE"""),45.46)</f>
        <v>45.46</v>
      </c>
      <c r="D21" s="19" t="n">
        <f aca="false">IFERROR(C21/C20-1,0)</f>
        <v>0.00375358798851844</v>
      </c>
      <c r="E21" s="20"/>
      <c r="G21" s="17" t="n">
        <f aca="false">IFERROR(__xludf.dummyfunction("""COMPUTED_VALUE"""),45958.6666666666)</f>
        <v>45958.6666666666</v>
      </c>
      <c r="H21" s="18" t="n">
        <f aca="false">IFERROR(__xludf.dummyfunction("""COMPUTED_VALUE"""),14.11)</f>
        <v>14.11</v>
      </c>
      <c r="I21" s="19" t="n">
        <f aca="false">IFERROR(H21/H20-1,0)</f>
        <v>0.00141944641589786</v>
      </c>
      <c r="J21" s="20"/>
      <c r="L21" s="17" t="n">
        <f aca="false">IFERROR(__xludf.dummyfunction("""COMPUTED_VALUE"""),45958.6666666666)</f>
        <v>45958.6666666666</v>
      </c>
      <c r="M21" s="18" t="n">
        <f aca="false">IFERROR(__xludf.dummyfunction("""COMPUTED_VALUE"""),30.6)</f>
        <v>30.6</v>
      </c>
      <c r="N21" s="19" t="n">
        <f aca="false">IFERROR(M21/M20-1,0)</f>
        <v>-0.00778210116731515</v>
      </c>
      <c r="V21" s="19" t="n">
        <f aca="false">IFERROR((D21+I21+N21)/3,0)</f>
        <v>-0.000869688920966283</v>
      </c>
      <c r="W21" s="19" t="n">
        <f aca="false">IFERROR(0.3*D21+0.6*I21+0.1*N21,0)</f>
        <v>0.00119953412936273</v>
      </c>
    </row>
    <row r="22" customFormat="false" ht="12.75" hidden="false" customHeight="true" outlineLevel="0" collapsed="false">
      <c r="B22" s="17" t="n">
        <f aca="false">IFERROR(__xludf.dummyfunction("""COMPUTED_VALUE"""),45959.6666666666)</f>
        <v>45959.6666666666</v>
      </c>
      <c r="C22" s="18" t="n">
        <f aca="false">IFERROR(__xludf.dummyfunction("""COMPUTED_VALUE"""),44.96)</f>
        <v>44.96</v>
      </c>
      <c r="D22" s="19" t="n">
        <f aca="false">IFERROR(C22/C21-1,0)</f>
        <v>-0.010998680158381</v>
      </c>
      <c r="E22" s="20"/>
      <c r="G22" s="17" t="n">
        <f aca="false">IFERROR(__xludf.dummyfunction("""COMPUTED_VALUE"""),45959.6666666666)</f>
        <v>45959.6666666666</v>
      </c>
      <c r="H22" s="18" t="n">
        <f aca="false">IFERROR(__xludf.dummyfunction("""COMPUTED_VALUE"""),14.03)</f>
        <v>14.03</v>
      </c>
      <c r="I22" s="19" t="n">
        <f aca="false">IFERROR(H22/H21-1,0)</f>
        <v>-0.00566973777462798</v>
      </c>
      <c r="J22" s="20"/>
      <c r="L22" s="17" t="n">
        <f aca="false">IFERROR(__xludf.dummyfunction("""COMPUTED_VALUE"""),45959.6666666666)</f>
        <v>45959.6666666666</v>
      </c>
      <c r="M22" s="18" t="n">
        <f aca="false">IFERROR(__xludf.dummyfunction("""COMPUTED_VALUE"""),30.55)</f>
        <v>30.55</v>
      </c>
      <c r="N22" s="19" t="n">
        <f aca="false">IFERROR(M22/M21-1,0)</f>
        <v>-0.00163398692810457</v>
      </c>
      <c r="V22" s="19" t="n">
        <f aca="false">IFERROR((D22+I22+N22)/3,0)</f>
        <v>-0.00610080162037119</v>
      </c>
      <c r="W22" s="19" t="n">
        <f aca="false">IFERROR(0.3*D22+0.6*I22+0.1*N22,0)</f>
        <v>-0.00686484540510155</v>
      </c>
    </row>
    <row r="23" customFormat="false" ht="12.75" hidden="false" customHeight="true" outlineLevel="0" collapsed="false">
      <c r="B23" s="17" t="n">
        <f aca="false">IFERROR(__xludf.dummyfunction("""COMPUTED_VALUE"""),45960.6666666666)</f>
        <v>45960.6666666666</v>
      </c>
      <c r="C23" s="18" t="n">
        <f aca="false">IFERROR(__xludf.dummyfunction("""COMPUTED_VALUE"""),45.01)</f>
        <v>45.01</v>
      </c>
      <c r="D23" s="19" t="n">
        <f aca="false">IFERROR(C23/C22-1,0)</f>
        <v>0.00111209964412806</v>
      </c>
      <c r="E23" s="20"/>
      <c r="G23" s="17" t="n">
        <f aca="false">IFERROR(__xludf.dummyfunction("""COMPUTED_VALUE"""),45960.6666666666)</f>
        <v>45960.6666666666</v>
      </c>
      <c r="H23" s="18" t="n">
        <f aca="false">IFERROR(__xludf.dummyfunction("""COMPUTED_VALUE"""),13.99)</f>
        <v>13.99</v>
      </c>
      <c r="I23" s="19" t="n">
        <f aca="false">IFERROR(H23/H22-1,0)</f>
        <v>-0.00285103349964355</v>
      </c>
      <c r="J23" s="20"/>
      <c r="L23" s="17" t="n">
        <f aca="false">IFERROR(__xludf.dummyfunction("""COMPUTED_VALUE"""),45960.6666666666)</f>
        <v>45960.6666666666</v>
      </c>
      <c r="M23" s="18" t="n">
        <f aca="false">IFERROR(__xludf.dummyfunction("""COMPUTED_VALUE"""),31.17)</f>
        <v>31.17</v>
      </c>
      <c r="N23" s="19" t="n">
        <f aca="false">IFERROR(M23/M22-1,0)</f>
        <v>0.0202945990180032</v>
      </c>
      <c r="V23" s="19" t="n">
        <f aca="false">IFERROR((D23+I23+N23)/3,0)</f>
        <v>0.00618522172082925</v>
      </c>
      <c r="W23" s="19" t="n">
        <f aca="false">IFERROR(0.3*D23+0.6*I23+0.1*N23,0)</f>
        <v>0.000652469695252611</v>
      </c>
    </row>
    <row r="24" customFormat="false" ht="12.75" hidden="false" customHeight="true" outlineLevel="0" collapsed="false">
      <c r="B24" s="17" t="n">
        <f aca="false">IFERROR(__xludf.dummyfunction("""COMPUTED_VALUE"""),45961.6666666666)</f>
        <v>45961.6666666666</v>
      </c>
      <c r="C24" s="18" t="n">
        <f aca="false">IFERROR(__xludf.dummyfunction("""COMPUTED_VALUE"""),45.14)</f>
        <v>45.14</v>
      </c>
      <c r="D24" s="19" t="n">
        <f aca="false">IFERROR(C24/C23-1,0)</f>
        <v>0.00288824705620971</v>
      </c>
      <c r="E24" s="20"/>
      <c r="G24" s="17" t="n">
        <f aca="false">IFERROR(__xludf.dummyfunction("""COMPUTED_VALUE"""),45961.6666666666)</f>
        <v>45961.6666666666</v>
      </c>
      <c r="H24" s="18" t="n">
        <f aca="false">IFERROR(__xludf.dummyfunction("""COMPUTED_VALUE"""),14)</f>
        <v>14</v>
      </c>
      <c r="I24" s="19" t="n">
        <f aca="false">IFERROR(H24/H23-1,0)</f>
        <v>0.000714796283059371</v>
      </c>
      <c r="J24" s="20"/>
      <c r="L24" s="17" t="n">
        <f aca="false">IFERROR(__xludf.dummyfunction("""COMPUTED_VALUE"""),45961.6666666666)</f>
        <v>45961.6666666666</v>
      </c>
      <c r="M24" s="18" t="n">
        <f aca="false">IFERROR(__xludf.dummyfunction("""COMPUTED_VALUE"""),30.97)</f>
        <v>30.97</v>
      </c>
      <c r="N24" s="19" t="n">
        <f aca="false">IFERROR(M24/M23-1,0)</f>
        <v>-0.00641642605068982</v>
      </c>
      <c r="V24" s="19" t="n">
        <f aca="false">IFERROR((D24+I24+N24)/3,0)</f>
        <v>-0.000937794237140244</v>
      </c>
      <c r="W24" s="19" t="n">
        <f aca="false">IFERROR(0.3*D24+0.6*I24+0.1*N24,0)</f>
        <v>0.000653709281629555</v>
      </c>
    </row>
    <row r="25" customFormat="false" ht="12.75" hidden="false" customHeight="true" outlineLevel="0" collapsed="false">
      <c r="B25" s="17" t="n">
        <f aca="false">IFERROR(__xludf.dummyfunction("""COMPUTED_VALUE"""),45964.6666666666)</f>
        <v>45964.6666666666</v>
      </c>
      <c r="C25" s="18" t="n">
        <f aca="false">IFERROR(__xludf.dummyfunction("""COMPUTED_VALUE"""),45.2)</f>
        <v>45.2</v>
      </c>
      <c r="D25" s="19" t="n">
        <f aca="false">IFERROR(C25/C24-1,0)</f>
        <v>0.00132919805050968</v>
      </c>
      <c r="E25" s="20"/>
      <c r="G25" s="17" t="n">
        <f aca="false">IFERROR(__xludf.dummyfunction("""COMPUTED_VALUE"""),45964.6666666666)</f>
        <v>45964.6666666666</v>
      </c>
      <c r="H25" s="18" t="n">
        <f aca="false">IFERROR(__xludf.dummyfunction("""COMPUTED_VALUE"""),13.98)</f>
        <v>13.98</v>
      </c>
      <c r="I25" s="19" t="n">
        <f aca="false">IFERROR(H25/H24-1,0)</f>
        <v>-0.00142857142857145</v>
      </c>
      <c r="J25" s="20"/>
      <c r="L25" s="17" t="n">
        <f aca="false">IFERROR(__xludf.dummyfunction("""COMPUTED_VALUE"""),45964.6666666666)</f>
        <v>45964.6666666666</v>
      </c>
      <c r="M25" s="18" t="n">
        <f aca="false">IFERROR(__xludf.dummyfunction("""COMPUTED_VALUE"""),31.05)</f>
        <v>31.05</v>
      </c>
      <c r="N25" s="19" t="n">
        <f aca="false">IFERROR(M25/M24-1,0)</f>
        <v>0.00258314497901191</v>
      </c>
      <c r="V25" s="19" t="n">
        <f aca="false">IFERROR((D25+I25+N25)/3,0)</f>
        <v>0.000827923866983382</v>
      </c>
      <c r="W25" s="19" t="n">
        <f aca="false">IFERROR(0.3*D25+0.6*I25+0.1*N25,0)</f>
        <v>-0.000200068944088772</v>
      </c>
    </row>
    <row r="26" customFormat="false" ht="12.75" hidden="false" customHeight="true" outlineLevel="0" collapsed="false">
      <c r="B26" s="17" t="n">
        <f aca="false">IFERROR(__xludf.dummyfunction("""COMPUTED_VALUE"""),45965.6666666666)</f>
        <v>45965.6666666666</v>
      </c>
      <c r="C26" s="18" t="n">
        <f aca="false">IFERROR(__xludf.dummyfunction("""COMPUTED_VALUE"""),44.52)</f>
        <v>44.52</v>
      </c>
      <c r="D26" s="19" t="n">
        <f aca="false">IFERROR(C26/C25-1,0)</f>
        <v>-0.0150442477876106</v>
      </c>
      <c r="E26" s="20"/>
      <c r="G26" s="17" t="n">
        <f aca="false">IFERROR(__xludf.dummyfunction("""COMPUTED_VALUE"""),45965.6666666666)</f>
        <v>45965.6666666666</v>
      </c>
      <c r="H26" s="18" t="n">
        <f aca="false">IFERROR(__xludf.dummyfunction("""COMPUTED_VALUE"""),13.98)</f>
        <v>13.98</v>
      </c>
      <c r="I26" s="19" t="n">
        <f aca="false">IFERROR(H26/H25-1,0)</f>
        <v>0</v>
      </c>
      <c r="J26" s="20"/>
      <c r="L26" s="17" t="n">
        <f aca="false">IFERROR(__xludf.dummyfunction("""COMPUTED_VALUE"""),45965.6666666666)</f>
        <v>45965.6666666666</v>
      </c>
      <c r="M26" s="18" t="n">
        <f aca="false">IFERROR(__xludf.dummyfunction("""COMPUTED_VALUE"""),30.44)</f>
        <v>30.44</v>
      </c>
      <c r="N26" s="19" t="n">
        <f aca="false">IFERROR(M26/M25-1,0)</f>
        <v>-0.0196457326892109</v>
      </c>
      <c r="V26" s="19" t="n">
        <f aca="false">IFERROR((D26+I26+N26)/3,0)</f>
        <v>-0.0115633268256072</v>
      </c>
      <c r="W26" s="19" t="n">
        <f aca="false">IFERROR(0.3*D26+0.6*I26+0.1*N26,0)</f>
        <v>-0.00647784760520427</v>
      </c>
    </row>
    <row r="27" customFormat="false" ht="12.75" hidden="false" customHeight="true" outlineLevel="0" collapsed="false">
      <c r="B27" s="17" t="n">
        <f aca="false">IFERROR(__xludf.dummyfunction("""COMPUTED_VALUE"""),45966.6666666666)</f>
        <v>45966.6666666666</v>
      </c>
      <c r="C27" s="18" t="n">
        <f aca="false">IFERROR(__xludf.dummyfunction("""COMPUTED_VALUE"""),44.99)</f>
        <v>44.99</v>
      </c>
      <c r="D27" s="19" t="n">
        <f aca="false">IFERROR(C27/C26-1,0)</f>
        <v>0.0105570530098831</v>
      </c>
      <c r="E27" s="20"/>
      <c r="G27" s="17" t="n">
        <f aca="false">IFERROR(__xludf.dummyfunction("""COMPUTED_VALUE"""),45966.6666666666)</f>
        <v>45966.6666666666</v>
      </c>
      <c r="H27" s="18" t="n">
        <f aca="false">IFERROR(__xludf.dummyfunction("""COMPUTED_VALUE"""),13.99)</f>
        <v>13.99</v>
      </c>
      <c r="I27" s="19" t="n">
        <f aca="false">IFERROR(H27/H26-1,0)</f>
        <v>0.000715307582260349</v>
      </c>
      <c r="J27" s="20"/>
      <c r="L27" s="17" t="n">
        <f aca="false">IFERROR(__xludf.dummyfunction("""COMPUTED_VALUE"""),45966.6666666666)</f>
        <v>45966.6666666666</v>
      </c>
      <c r="M27" s="18" t="n">
        <f aca="false">IFERROR(__xludf.dummyfunction("""COMPUTED_VALUE"""),30.87)</f>
        <v>30.87</v>
      </c>
      <c r="N27" s="19" t="n">
        <f aca="false">IFERROR(M27/M26-1,0)</f>
        <v>0.0141261498028908</v>
      </c>
      <c r="V27" s="19" t="n">
        <f aca="false">IFERROR((D27+I27+N27)/3,0)</f>
        <v>0.00846617013167809</v>
      </c>
      <c r="W27" s="19" t="n">
        <f aca="false">IFERROR(0.3*D27+0.6*I27+0.1*N27,0)</f>
        <v>0.00500891543261022</v>
      </c>
    </row>
    <row r="28" customFormat="false" ht="12.75" hidden="false" customHeight="true" outlineLevel="0" collapsed="false">
      <c r="B28" s="17" t="n">
        <f aca="false">IFERROR(__xludf.dummyfunction("""COMPUTED_VALUE"""),45967.6666666666)</f>
        <v>45967.6666666666</v>
      </c>
      <c r="C28" s="18" t="n">
        <f aca="false">IFERROR(__xludf.dummyfunction("""COMPUTED_VALUE"""),44.64)</f>
        <v>44.64</v>
      </c>
      <c r="D28" s="19" t="n">
        <f aca="false">IFERROR(C28/C27-1,0)</f>
        <v>-0.00777950655701265</v>
      </c>
      <c r="E28" s="20"/>
      <c r="G28" s="17" t="n">
        <f aca="false">IFERROR(__xludf.dummyfunction("""COMPUTED_VALUE"""),45967.6666666666)</f>
        <v>45967.6666666666</v>
      </c>
      <c r="H28" s="18" t="n">
        <f aca="false">IFERROR(__xludf.dummyfunction("""COMPUTED_VALUE"""),14.04)</f>
        <v>14.04</v>
      </c>
      <c r="I28" s="19" t="n">
        <f aca="false">IFERROR(H28/H27-1,0)</f>
        <v>0.00357398141529663</v>
      </c>
      <c r="J28" s="20"/>
      <c r="L28" s="17" t="n">
        <f aca="false">IFERROR(__xludf.dummyfunction("""COMPUTED_VALUE"""),45967.6666666666)</f>
        <v>45967.6666666666</v>
      </c>
      <c r="M28" s="18" t="n">
        <f aca="false">IFERROR(__xludf.dummyfunction("""COMPUTED_VALUE"""),30.84)</f>
        <v>30.84</v>
      </c>
      <c r="N28" s="19" t="n">
        <f aca="false">IFERROR(M28/M27-1,0)</f>
        <v>-0.000971817298347943</v>
      </c>
      <c r="V28" s="19" t="n">
        <f aca="false">IFERROR((D28+I28+N28)/3,0)</f>
        <v>-0.00172578081335465</v>
      </c>
      <c r="W28" s="19" t="n">
        <f aca="false">IFERROR(0.3*D28+0.6*I28+0.1*N28,0)</f>
        <v>-0.000286644847760608</v>
      </c>
    </row>
    <row r="29" customFormat="false" ht="12.75" hidden="false" customHeight="true" outlineLevel="0" collapsed="false">
      <c r="B29" s="17" t="n">
        <f aca="false">IFERROR(__xludf.dummyfunction("""COMPUTED_VALUE"""),45968.6666666666)</f>
        <v>45968.6666666666</v>
      </c>
      <c r="C29" s="18" t="n">
        <f aca="false">IFERROR(__xludf.dummyfunction("""COMPUTED_VALUE"""),44.67)</f>
        <v>44.67</v>
      </c>
      <c r="D29" s="19" t="n">
        <f aca="false">IFERROR(C29/C28-1,0)</f>
        <v>0.000672043010752743</v>
      </c>
      <c r="E29" s="20"/>
      <c r="G29" s="17" t="n">
        <f aca="false">IFERROR(__xludf.dummyfunction("""COMPUTED_VALUE"""),45968.6666666666)</f>
        <v>45968.6666666666</v>
      </c>
      <c r="H29" s="18" t="n">
        <f aca="false">IFERROR(__xludf.dummyfunction("""COMPUTED_VALUE"""),13.99)</f>
        <v>13.99</v>
      </c>
      <c r="I29" s="19" t="n">
        <f aca="false">IFERROR(H29/H28-1,0)</f>
        <v>-0.00356125356125347</v>
      </c>
      <c r="J29" s="20"/>
      <c r="L29" s="17" t="n">
        <f aca="false">IFERROR(__xludf.dummyfunction("""COMPUTED_VALUE"""),45968.6666666666)</f>
        <v>45968.6666666666</v>
      </c>
      <c r="M29" s="18" t="n">
        <f aca="false">IFERROR(__xludf.dummyfunction("""COMPUTED_VALUE"""),30.99)</f>
        <v>30.99</v>
      </c>
      <c r="N29" s="19" t="n">
        <f aca="false">IFERROR(M29/M28-1,0)</f>
        <v>0.00486381322957197</v>
      </c>
      <c r="V29" s="19" t="n">
        <f aca="false">IFERROR((D29+I29+N29)/3,0)</f>
        <v>0.000658200893023745</v>
      </c>
      <c r="W29" s="19" t="n">
        <f aca="false">IFERROR(0.3*D29+0.6*I29+0.1*N29,0)</f>
        <v>-0.00144875791056906</v>
      </c>
    </row>
    <row r="30" customFormat="false" ht="12.75" hidden="false" customHeight="true" outlineLevel="0" collapsed="false">
      <c r="B30" s="17" t="n">
        <f aca="false">IFERROR(__xludf.dummyfunction("""COMPUTED_VALUE"""),45971.6666666666)</f>
        <v>45971.6666666666</v>
      </c>
      <c r="C30" s="18" t="n">
        <f aca="false">IFERROR(__xludf.dummyfunction("""COMPUTED_VALUE"""),45.23)</f>
        <v>45.23</v>
      </c>
      <c r="D30" s="19" t="n">
        <f aca="false">IFERROR(C30/C29-1,0)</f>
        <v>0.0125363778822476</v>
      </c>
      <c r="E30" s="20"/>
      <c r="G30" s="17" t="n">
        <f aca="false">IFERROR(__xludf.dummyfunction("""COMPUTED_VALUE"""),45971.6666666666)</f>
        <v>45971.6666666666</v>
      </c>
      <c r="H30" s="18" t="n">
        <f aca="false">IFERROR(__xludf.dummyfunction("""COMPUTED_VALUE"""),14)</f>
        <v>14</v>
      </c>
      <c r="I30" s="19" t="n">
        <f aca="false">IFERROR(H30/H29-1,0)</f>
        <v>0.000714796283059371</v>
      </c>
      <c r="J30" s="20"/>
      <c r="L30" s="17" t="n">
        <f aca="false">IFERROR(__xludf.dummyfunction("""COMPUTED_VALUE"""),45971.6666666666)</f>
        <v>45971.6666666666</v>
      </c>
      <c r="M30" s="18" t="n">
        <f aca="false">IFERROR(__xludf.dummyfunction("""COMPUTED_VALUE"""),31.85)</f>
        <v>31.85</v>
      </c>
      <c r="N30" s="19" t="n">
        <f aca="false">IFERROR(M30/M29-1,0)</f>
        <v>0.0277508873830268</v>
      </c>
      <c r="V30" s="19" t="n">
        <f aca="false">IFERROR((D30+I30+N30)/3,0)</f>
        <v>0.0136673538494446</v>
      </c>
      <c r="W30" s="19" t="n">
        <f aca="false">IFERROR(0.3*D30+0.6*I30+0.1*N30,0)</f>
        <v>0.00696487987281258</v>
      </c>
    </row>
    <row r="31" customFormat="false" ht="12.75" hidden="false" customHeight="true" outlineLevel="0" collapsed="false">
      <c r="B31" s="17" t="n">
        <f aca="false">IFERROR(__xludf.dummyfunction("""COMPUTED_VALUE"""),45972.6666666666)</f>
        <v>45972.6666666666</v>
      </c>
      <c r="C31" s="18" t="n">
        <f aca="false">IFERROR(__xludf.dummyfunction("""COMPUTED_VALUE"""),45.44)</f>
        <v>45.44</v>
      </c>
      <c r="D31" s="19" t="n">
        <f aca="false">IFERROR(C31/C30-1,0)</f>
        <v>0.00464293610435562</v>
      </c>
      <c r="E31" s="20"/>
      <c r="G31" s="17" t="n">
        <f aca="false">IFERROR(__xludf.dummyfunction("""COMPUTED_VALUE"""),45972.6666666666)</f>
        <v>45972.6666666666</v>
      </c>
      <c r="H31" s="18" t="n">
        <f aca="false">IFERROR(__xludf.dummyfunction("""COMPUTED_VALUE"""),14.02)</f>
        <v>14.02</v>
      </c>
      <c r="I31" s="19" t="n">
        <f aca="false">IFERROR(H31/H30-1,0)</f>
        <v>0.00142857142857133</v>
      </c>
      <c r="J31" s="20"/>
      <c r="L31" s="17" t="n">
        <f aca="false">IFERROR(__xludf.dummyfunction("""COMPUTED_VALUE"""),45972.6666666666)</f>
        <v>45972.6666666666</v>
      </c>
      <c r="M31" s="18" t="n">
        <f aca="false">IFERROR(__xludf.dummyfunction("""COMPUTED_VALUE"""),31.95)</f>
        <v>31.95</v>
      </c>
      <c r="N31" s="19" t="n">
        <f aca="false">IFERROR(M31/M30-1,0)</f>
        <v>0.00313971742543173</v>
      </c>
      <c r="V31" s="19" t="n">
        <f aca="false">IFERROR((D31+I31+N31)/3,0)</f>
        <v>0.0030704083194529</v>
      </c>
      <c r="W31" s="19" t="n">
        <f aca="false">IFERROR(0.3*D31+0.6*I31+0.1*N31,0)</f>
        <v>0.00256399543099266</v>
      </c>
    </row>
    <row r="32" customFormat="false" ht="12.75" hidden="false" customHeight="true" outlineLevel="0" collapsed="false">
      <c r="B32" s="17" t="n">
        <f aca="false">IFERROR(__xludf.dummyfunction("""COMPUTED_VALUE"""),45973.6666666666)</f>
        <v>45973.6666666666</v>
      </c>
      <c r="C32" s="18" t="n">
        <f aca="false">IFERROR(__xludf.dummyfunction("""COMPUTED_VALUE"""),45.99)</f>
        <v>45.99</v>
      </c>
      <c r="D32" s="19" t="n">
        <f aca="false">IFERROR(C32/C31-1,0)</f>
        <v>0.0121038732394367</v>
      </c>
      <c r="E32" s="20"/>
      <c r="G32" s="17" t="n">
        <f aca="false">IFERROR(__xludf.dummyfunction("""COMPUTED_VALUE"""),45973.6666666666)</f>
        <v>45973.6666666666</v>
      </c>
      <c r="H32" s="18" t="n">
        <f aca="false">IFERROR(__xludf.dummyfunction("""COMPUTED_VALUE"""),14.01)</f>
        <v>14.01</v>
      </c>
      <c r="I32" s="19" t="n">
        <f aca="false">IFERROR(H32/H31-1,0)</f>
        <v>-0.00071326676176886</v>
      </c>
      <c r="J32" s="20"/>
      <c r="L32" s="17" t="n">
        <f aca="false">IFERROR(__xludf.dummyfunction("""COMPUTED_VALUE"""),45973.6666666666)</f>
        <v>45973.6666666666</v>
      </c>
      <c r="M32" s="18" t="n">
        <f aca="false">IFERROR(__xludf.dummyfunction("""COMPUTED_VALUE"""),32.44)</f>
        <v>32.44</v>
      </c>
      <c r="N32" s="19" t="n">
        <f aca="false">IFERROR(M32/M31-1,0)</f>
        <v>0.0153364632237871</v>
      </c>
      <c r="V32" s="19" t="n">
        <f aca="false">IFERROR((D32+I32+N32)/3,0)</f>
        <v>0.00890902323381833</v>
      </c>
      <c r="W32" s="19" t="n">
        <f aca="false">IFERROR(0.3*D32+0.6*I32+0.1*N32,0)</f>
        <v>0.00473684823714842</v>
      </c>
    </row>
    <row r="33" customFormat="false" ht="12.75" hidden="false" customHeight="true" outlineLevel="0" collapsed="false">
      <c r="B33" s="17" t="n">
        <f aca="false">IFERROR(__xludf.dummyfunction("""COMPUTED_VALUE"""),45974.6666666666)</f>
        <v>45974.6666666666</v>
      </c>
      <c r="C33" s="18" t="n">
        <f aca="false">IFERROR(__xludf.dummyfunction("""COMPUTED_VALUE"""),45.18)</f>
        <v>45.18</v>
      </c>
      <c r="D33" s="19" t="n">
        <f aca="false">IFERROR(C33/C32-1,0)</f>
        <v>-0.0176125244618396</v>
      </c>
      <c r="E33" s="20"/>
      <c r="G33" s="17" t="n">
        <f aca="false">IFERROR(__xludf.dummyfunction("""COMPUTED_VALUE"""),45974.6666666666)</f>
        <v>45974.6666666666</v>
      </c>
      <c r="H33" s="18" t="n">
        <f aca="false">IFERROR(__xludf.dummyfunction("""COMPUTED_VALUE"""),13.99)</f>
        <v>13.99</v>
      </c>
      <c r="I33" s="19" t="n">
        <f aca="false">IFERROR(H33/H32-1,0)</f>
        <v>-0.00142755174875087</v>
      </c>
      <c r="J33" s="20"/>
      <c r="L33" s="17" t="n">
        <f aca="false">IFERROR(__xludf.dummyfunction("""COMPUTED_VALUE"""),45974.6666666666)</f>
        <v>45974.6666666666</v>
      </c>
      <c r="M33" s="18" t="n">
        <f aca="false">IFERROR(__xludf.dummyfunction("""COMPUTED_VALUE"""),32.25)</f>
        <v>32.25</v>
      </c>
      <c r="N33" s="19" t="n">
        <f aca="false">IFERROR(M33/M32-1,0)</f>
        <v>-0.00585696670776814</v>
      </c>
      <c r="V33" s="19" t="n">
        <f aca="false">IFERROR((D33+I33+N33)/3,0)</f>
        <v>-0.00829901430611953</v>
      </c>
      <c r="W33" s="19" t="n">
        <f aca="false">IFERROR(0.3*D33+0.6*I33+0.1*N33,0)</f>
        <v>-0.00672598505857921</v>
      </c>
    </row>
    <row r="34" customFormat="false" ht="12.75" hidden="false" customHeight="true" outlineLevel="0" collapsed="false">
      <c r="B34" s="17" t="n">
        <f aca="false">IFERROR(__xludf.dummyfunction("""COMPUTED_VALUE"""),45975.6666666666)</f>
        <v>45975.6666666666</v>
      </c>
      <c r="C34" s="18" t="n">
        <f aca="false">IFERROR(__xludf.dummyfunction("""COMPUTED_VALUE"""),45.31)</f>
        <v>45.31</v>
      </c>
      <c r="D34" s="19" t="n">
        <f aca="false">IFERROR(C34/C33-1,0)</f>
        <v>0.00287737937140342</v>
      </c>
      <c r="E34" s="20"/>
      <c r="G34" s="17" t="n">
        <f aca="false">IFERROR(__xludf.dummyfunction("""COMPUTED_VALUE"""),45975.6666666666)</f>
        <v>45975.6666666666</v>
      </c>
      <c r="H34" s="18" t="n">
        <f aca="false">IFERROR(__xludf.dummyfunction("""COMPUTED_VALUE"""),13.93)</f>
        <v>13.93</v>
      </c>
      <c r="I34" s="19" t="n">
        <f aca="false">IFERROR(H34/H33-1,0)</f>
        <v>-0.00428877769835601</v>
      </c>
      <c r="J34" s="20"/>
      <c r="L34" s="17" t="n">
        <f aca="false">IFERROR(__xludf.dummyfunction("""COMPUTED_VALUE"""),45975.6666666666)</f>
        <v>45975.6666666666</v>
      </c>
      <c r="M34" s="18" t="n">
        <f aca="false">IFERROR(__xludf.dummyfunction("""COMPUTED_VALUE"""),31.58)</f>
        <v>31.58</v>
      </c>
      <c r="N34" s="19" t="n">
        <f aca="false">IFERROR(M34/M33-1,0)</f>
        <v>-0.0207751937984497</v>
      </c>
      <c r="V34" s="19" t="n">
        <f aca="false">IFERROR((D34+I34+N34)/3,0)</f>
        <v>-0.00739553070846744</v>
      </c>
      <c r="W34" s="19" t="n">
        <f aca="false">IFERROR(0.3*D34+0.6*I34+0.1*N34,0)</f>
        <v>-0.00378757218743755</v>
      </c>
    </row>
    <row r="35" customFormat="false" ht="12.75" hidden="false" customHeight="true" outlineLevel="0" collapsed="false">
      <c r="B35" s="17" t="n">
        <f aca="false">IFERROR(__xludf.dummyfunction("""COMPUTED_VALUE"""),45978.6666666666)</f>
        <v>45978.6666666666</v>
      </c>
      <c r="C35" s="18" t="n">
        <f aca="false">IFERROR(__xludf.dummyfunction("""COMPUTED_VALUE"""),44.93)</f>
        <v>44.93</v>
      </c>
      <c r="D35" s="19" t="n">
        <f aca="false">IFERROR(C35/C34-1,0)</f>
        <v>-0.00838666960935786</v>
      </c>
      <c r="E35" s="20"/>
      <c r="G35" s="17" t="n">
        <f aca="false">IFERROR(__xludf.dummyfunction("""COMPUTED_VALUE"""),45978.6666666666)</f>
        <v>45978.6666666666</v>
      </c>
      <c r="H35" s="18" t="n">
        <f aca="false">IFERROR(__xludf.dummyfunction("""COMPUTED_VALUE"""),13.94)</f>
        <v>13.94</v>
      </c>
      <c r="I35" s="19" t="n">
        <f aca="false">IFERROR(H35/H34-1,0)</f>
        <v>0.00071787508973431</v>
      </c>
      <c r="J35" s="20"/>
      <c r="L35" s="17" t="n">
        <f aca="false">IFERROR(__xludf.dummyfunction("""COMPUTED_VALUE"""),45978.6666666666)</f>
        <v>45978.6666666666</v>
      </c>
      <c r="M35" s="18" t="n">
        <f aca="false">IFERROR(__xludf.dummyfunction("""COMPUTED_VALUE"""),31.23)</f>
        <v>31.23</v>
      </c>
      <c r="N35" s="19" t="n">
        <f aca="false">IFERROR(M35/M34-1,0)</f>
        <v>-0.0110829639012032</v>
      </c>
      <c r="V35" s="19" t="n">
        <f aca="false">IFERROR((D35+I35+N35)/3,0)</f>
        <v>-0.00625058614027559</v>
      </c>
      <c r="W35" s="19" t="n">
        <f aca="false">IFERROR(0.3*D35+0.6*I35+0.1*N35,0)</f>
        <v>-0.00319357221908709</v>
      </c>
    </row>
    <row r="36" customFormat="false" ht="12.75" hidden="false" customHeight="true" outlineLevel="0" collapsed="false">
      <c r="B36" s="17" t="n">
        <f aca="false">IFERROR(__xludf.dummyfunction("""COMPUTED_VALUE"""),45979.6666666666)</f>
        <v>45979.6666666666</v>
      </c>
      <c r="C36" s="18" t="n">
        <f aca="false">IFERROR(__xludf.dummyfunction("""COMPUTED_VALUE"""),44.89)</f>
        <v>44.89</v>
      </c>
      <c r="D36" s="19" t="n">
        <f aca="false">IFERROR(C36/C35-1,0)</f>
        <v>-0.000890273759180937</v>
      </c>
      <c r="E36" s="20"/>
      <c r="G36" s="17" t="n">
        <f aca="false">IFERROR(__xludf.dummyfunction("""COMPUTED_VALUE"""),45979.6666666666)</f>
        <v>45979.6666666666</v>
      </c>
      <c r="H36" s="18" t="n">
        <f aca="false">IFERROR(__xludf.dummyfunction("""COMPUTED_VALUE"""),13.92)</f>
        <v>13.92</v>
      </c>
      <c r="I36" s="19" t="n">
        <f aca="false">IFERROR(H36/H35-1,0)</f>
        <v>-0.00143472022955515</v>
      </c>
      <c r="J36" s="20"/>
      <c r="L36" s="17" t="n">
        <f aca="false">IFERROR(__xludf.dummyfunction("""COMPUTED_VALUE"""),45979.6666666666)</f>
        <v>45979.6666666666</v>
      </c>
      <c r="M36" s="18" t="n">
        <f aca="false">IFERROR(__xludf.dummyfunction("""COMPUTED_VALUE"""),31.45)</f>
        <v>31.45</v>
      </c>
      <c r="N36" s="19" t="n">
        <f aca="false">IFERROR(M36/M35-1,0)</f>
        <v>0.0070445084854307</v>
      </c>
      <c r="V36" s="19" t="n">
        <f aca="false">IFERROR((D36+I36+N36)/3,0)</f>
        <v>0.0015731714988982</v>
      </c>
      <c r="W36" s="19" t="n">
        <f aca="false">IFERROR(0.3*D36+0.6*I36+0.1*N36,0)</f>
        <v>-0.000423463416944303</v>
      </c>
    </row>
    <row r="37" customFormat="false" ht="12.75" hidden="false" customHeight="true" outlineLevel="0" collapsed="false">
      <c r="B37" s="17" t="n">
        <f aca="false">IFERROR(__xludf.dummyfunction("""COMPUTED_VALUE"""),45980.6666666666)</f>
        <v>45980.6666666666</v>
      </c>
      <c r="C37" s="18" t="n">
        <f aca="false">IFERROR(__xludf.dummyfunction("""COMPUTED_VALUE"""),44.87)</f>
        <v>44.87</v>
      </c>
      <c r="D37" s="19" t="n">
        <f aca="false">IFERROR(C37/C36-1,0)</f>
        <v>-0.000445533526397979</v>
      </c>
      <c r="E37" s="20"/>
      <c r="G37" s="17" t="n">
        <f aca="false">IFERROR(__xludf.dummyfunction("""COMPUTED_VALUE"""),45980.6666666666)</f>
        <v>45980.6666666666</v>
      </c>
      <c r="H37" s="18" t="n">
        <f aca="false">IFERROR(__xludf.dummyfunction("""COMPUTED_VALUE"""),13.92)</f>
        <v>13.92</v>
      </c>
      <c r="I37" s="19" t="n">
        <f aca="false">IFERROR(H37/H36-1,0)</f>
        <v>0</v>
      </c>
      <c r="J37" s="20"/>
      <c r="L37" s="17" t="n">
        <f aca="false">IFERROR(__xludf.dummyfunction("""COMPUTED_VALUE"""),45980.6666666666)</f>
        <v>45980.6666666666</v>
      </c>
      <c r="M37" s="18" t="n">
        <f aca="false">IFERROR(__xludf.dummyfunction("""COMPUTED_VALUE"""),31.5)</f>
        <v>31.5</v>
      </c>
      <c r="N37" s="19" t="n">
        <f aca="false">IFERROR(M37/M36-1,0)</f>
        <v>0.001589825119237</v>
      </c>
      <c r="V37" s="19" t="n">
        <f aca="false">IFERROR((D37+I37+N37)/3,0)</f>
        <v>0.00038143053094634</v>
      </c>
      <c r="W37" s="19" t="n">
        <f aca="false">IFERROR(0.3*D37+0.6*I37+0.1*N37,0)</f>
        <v>2.53224540043062E-005</v>
      </c>
    </row>
    <row r="38" customFormat="false" ht="12.75" hidden="false" customHeight="true" outlineLevel="0" collapsed="false">
      <c r="B38" s="17" t="n">
        <f aca="false">IFERROR(__xludf.dummyfunction("""COMPUTED_VALUE"""),45981.6666666666)</f>
        <v>45981.6666666666</v>
      </c>
      <c r="C38" s="18" t="n">
        <f aca="false">IFERROR(__xludf.dummyfunction("""COMPUTED_VALUE"""),44.51)</f>
        <v>44.51</v>
      </c>
      <c r="D38" s="19" t="n">
        <f aca="false">IFERROR(C38/C37-1,0)</f>
        <v>-0.00802317806997988</v>
      </c>
      <c r="E38" s="20"/>
      <c r="G38" s="17" t="n">
        <f aca="false">IFERROR(__xludf.dummyfunction("""COMPUTED_VALUE"""),45981.6666666666)</f>
        <v>45981.6666666666</v>
      </c>
      <c r="H38" s="18" t="n">
        <f aca="false">IFERROR(__xludf.dummyfunction("""COMPUTED_VALUE"""),13.94)</f>
        <v>13.94</v>
      </c>
      <c r="I38" s="19" t="n">
        <f aca="false">IFERROR(H38/H37-1,0)</f>
        <v>0.00143678160919536</v>
      </c>
      <c r="J38" s="20"/>
      <c r="L38" s="17" t="n">
        <f aca="false">IFERROR(__xludf.dummyfunction("""COMPUTED_VALUE"""),45981.6666666666)</f>
        <v>45981.6666666666</v>
      </c>
      <c r="M38" s="18" t="n">
        <f aca="false">IFERROR(__xludf.dummyfunction("""COMPUTED_VALUE"""),31.5)</f>
        <v>31.5</v>
      </c>
      <c r="N38" s="19" t="n">
        <f aca="false">IFERROR(M38/M37-1,0)</f>
        <v>0</v>
      </c>
      <c r="V38" s="19" t="n">
        <f aca="false">IFERROR((D38+I38+N38)/3,0)</f>
        <v>-0.00219546548692817</v>
      </c>
      <c r="W38" s="19" t="n">
        <f aca="false">IFERROR(0.3*D38+0.6*I38+0.1*N38,0)</f>
        <v>-0.00154488445547675</v>
      </c>
    </row>
    <row r="39" customFormat="false" ht="12.75" hidden="false" customHeight="true" outlineLevel="0" collapsed="false">
      <c r="B39" s="17" t="n">
        <f aca="false">IFERROR(__xludf.dummyfunction("""COMPUTED_VALUE"""),45982.6666666666)</f>
        <v>45982.6666666666</v>
      </c>
      <c r="C39" s="18" t="n">
        <f aca="false">IFERROR(__xludf.dummyfunction("""COMPUTED_VALUE"""),44.83)</f>
        <v>44.83</v>
      </c>
      <c r="D39" s="19" t="n">
        <f aca="false">IFERROR(C39/C38-1,0)</f>
        <v>0.00718939564142884</v>
      </c>
      <c r="E39" s="20"/>
      <c r="G39" s="17" t="n">
        <f aca="false">IFERROR(__xludf.dummyfunction("""COMPUTED_VALUE"""),45982.6666666666)</f>
        <v>45982.6666666666</v>
      </c>
      <c r="H39" s="18" t="n">
        <f aca="false">IFERROR(__xludf.dummyfunction("""COMPUTED_VALUE"""),13.96)</f>
        <v>13.96</v>
      </c>
      <c r="I39" s="19" t="n">
        <f aca="false">IFERROR(H39/H38-1,0)</f>
        <v>0.00143472022955526</v>
      </c>
      <c r="J39" s="20"/>
      <c r="L39" s="17" t="n">
        <f aca="false">IFERROR(__xludf.dummyfunction("""COMPUTED_VALUE"""),45982.6666666666)</f>
        <v>45982.6666666666</v>
      </c>
      <c r="M39" s="18" t="n">
        <f aca="false">IFERROR(__xludf.dummyfunction("""COMPUTED_VALUE"""),31.46)</f>
        <v>31.46</v>
      </c>
      <c r="N39" s="19" t="n">
        <f aca="false">IFERROR(M39/M38-1,0)</f>
        <v>-0.0012698412698412</v>
      </c>
      <c r="V39" s="19" t="n">
        <f aca="false">IFERROR((D39+I39+N39)/3,0)</f>
        <v>0.00245142486704764</v>
      </c>
      <c r="W39" s="19" t="n">
        <f aca="false">IFERROR(0.3*D39+0.6*I39+0.1*N39,0)</f>
        <v>0.00289066670317769</v>
      </c>
    </row>
    <row r="40" customFormat="false" ht="12.75" hidden="false" customHeight="true" outlineLevel="0" collapsed="false">
      <c r="B40" s="17" t="n">
        <f aca="false">IFERROR(__xludf.dummyfunction("""COMPUTED_VALUE"""),45985.6666666666)</f>
        <v>45985.6666666666</v>
      </c>
      <c r="C40" s="18" t="n">
        <f aca="false">IFERROR(__xludf.dummyfunction("""COMPUTED_VALUE"""),45.37)</f>
        <v>45.37</v>
      </c>
      <c r="D40" s="19" t="n">
        <f aca="false">IFERROR(C40/C39-1,0)</f>
        <v>0.0120455052420254</v>
      </c>
      <c r="E40" s="20"/>
      <c r="G40" s="17" t="n">
        <f aca="false">IFERROR(__xludf.dummyfunction("""COMPUTED_VALUE"""),45985.6666666666)</f>
        <v>45985.6666666666</v>
      </c>
      <c r="H40" s="18" t="n">
        <f aca="false">IFERROR(__xludf.dummyfunction("""COMPUTED_VALUE"""),13.99)</f>
        <v>13.99</v>
      </c>
      <c r="I40" s="19" t="n">
        <f aca="false">IFERROR(H40/H39-1,0)</f>
        <v>0.00214899713467043</v>
      </c>
      <c r="J40" s="20"/>
      <c r="L40" s="17" t="n">
        <f aca="false">IFERROR(__xludf.dummyfunction("""COMPUTED_VALUE"""),45985.6666666666)</f>
        <v>45985.6666666666</v>
      </c>
      <c r="M40" s="18" t="n">
        <f aca="false">IFERROR(__xludf.dummyfunction("""COMPUTED_VALUE"""),31.98)</f>
        <v>31.98</v>
      </c>
      <c r="N40" s="19" t="n">
        <f aca="false">IFERROR(M40/M39-1,0)</f>
        <v>0.0165289256198347</v>
      </c>
      <c r="V40" s="19" t="n">
        <f aca="false">IFERROR((D40+I40+N40)/3,0)</f>
        <v>0.0102411426655102</v>
      </c>
      <c r="W40" s="19" t="n">
        <f aca="false">IFERROR(0.3*D40+0.6*I40+0.1*N40,0)</f>
        <v>0.00655594241539335</v>
      </c>
    </row>
    <row r="41" customFormat="false" ht="12.75" hidden="false" customHeight="true" outlineLevel="0" collapsed="false">
      <c r="B41" s="17" t="n">
        <f aca="false">IFERROR(__xludf.dummyfunction("""COMPUTED_VALUE"""),45986.6666666666)</f>
        <v>45986.6666666666</v>
      </c>
      <c r="C41" s="18" t="n">
        <f aca="false">IFERROR(__xludf.dummyfunction("""COMPUTED_VALUE"""),45.86)</f>
        <v>45.86</v>
      </c>
      <c r="D41" s="19" t="n">
        <f aca="false">IFERROR(C41/C40-1,0)</f>
        <v>0.0108000881639851</v>
      </c>
      <c r="E41" s="20"/>
      <c r="G41" s="17" t="n">
        <f aca="false">IFERROR(__xludf.dummyfunction("""COMPUTED_VALUE"""),45986.6666666666)</f>
        <v>45986.6666666666</v>
      </c>
      <c r="H41" s="18" t="n">
        <f aca="false">IFERROR(__xludf.dummyfunction("""COMPUTED_VALUE"""),14.03)</f>
        <v>14.03</v>
      </c>
      <c r="I41" s="19" t="n">
        <f aca="false">IFERROR(H41/H40-1,0)</f>
        <v>0.00285918513223726</v>
      </c>
      <c r="J41" s="20"/>
      <c r="L41" s="17" t="n">
        <f aca="false">IFERROR(__xludf.dummyfunction("""COMPUTED_VALUE"""),45986.6666666666)</f>
        <v>45986.6666666666</v>
      </c>
      <c r="M41" s="18" t="n">
        <f aca="false">IFERROR(__xludf.dummyfunction("""COMPUTED_VALUE"""),31.95)</f>
        <v>31.95</v>
      </c>
      <c r="N41" s="19" t="n">
        <f aca="false">IFERROR(M41/M40-1,0)</f>
        <v>-0.000938086303939989</v>
      </c>
      <c r="V41" s="19" t="n">
        <f aca="false">IFERROR((D41+I41+N41)/3,0)</f>
        <v>0.00424039566409414</v>
      </c>
      <c r="W41" s="19" t="n">
        <f aca="false">IFERROR(0.3*D41+0.6*I41+0.1*N41,0)</f>
        <v>0.0048617288981439</v>
      </c>
    </row>
    <row r="42" customFormat="false" ht="12.75" hidden="false" customHeight="true" outlineLevel="0" collapsed="false">
      <c r="B42" s="17" t="n">
        <f aca="false">IFERROR(__xludf.dummyfunction("""COMPUTED_VALUE"""),45987.6666666666)</f>
        <v>45987.6666666666</v>
      </c>
      <c r="C42" s="18" t="n">
        <f aca="false">IFERROR(__xludf.dummyfunction("""COMPUTED_VALUE"""),46.22)</f>
        <v>46.22</v>
      </c>
      <c r="D42" s="19" t="n">
        <f aca="false">IFERROR(C42/C41-1,0)</f>
        <v>0.00784997819450495</v>
      </c>
      <c r="E42" s="20"/>
      <c r="G42" s="17" t="n">
        <f aca="false">IFERROR(__xludf.dummyfunction("""COMPUTED_VALUE"""),45987.6666666666)</f>
        <v>45987.6666666666</v>
      </c>
      <c r="H42" s="18" t="n">
        <f aca="false">IFERROR(__xludf.dummyfunction("""COMPUTED_VALUE"""),13.99)</f>
        <v>13.99</v>
      </c>
      <c r="I42" s="19" t="n">
        <f aca="false">IFERROR(H42/H41-1,0)</f>
        <v>-0.00285103349964355</v>
      </c>
      <c r="J42" s="20"/>
      <c r="L42" s="17" t="n">
        <f aca="false">IFERROR(__xludf.dummyfunction("""COMPUTED_VALUE"""),45987.6666666666)</f>
        <v>45987.6666666666</v>
      </c>
      <c r="M42" s="18" t="n">
        <f aca="false">IFERROR(__xludf.dummyfunction("""COMPUTED_VALUE"""),32.21)</f>
        <v>32.21</v>
      </c>
      <c r="N42" s="19" t="n">
        <f aca="false">IFERROR(M42/M41-1,0)</f>
        <v>0.00813771517996864</v>
      </c>
      <c r="V42" s="19" t="n">
        <f aca="false">IFERROR((D42+I42+N42)/3,0)</f>
        <v>0.00437888662494335</v>
      </c>
      <c r="W42" s="19" t="n">
        <f aca="false">IFERROR(0.3*D42+0.6*I42+0.1*N42,0)</f>
        <v>0.00145814487656222</v>
      </c>
    </row>
    <row r="43" customFormat="false" ht="12.75" hidden="false" customHeight="true" outlineLevel="0" collapsed="false">
      <c r="B43" s="17" t="n">
        <f aca="false">IFERROR(__xludf.dummyfunction("""COMPUTED_VALUE"""),45988.6666666666)</f>
        <v>45988.6666666666</v>
      </c>
      <c r="C43" s="18" t="n">
        <f aca="false">IFERROR(__xludf.dummyfunction("""COMPUTED_VALUE"""),46.26)</f>
        <v>46.26</v>
      </c>
      <c r="D43" s="19" t="n">
        <f aca="false">IFERROR(C43/C42-1,0)</f>
        <v>0.000865426222414589</v>
      </c>
      <c r="E43" s="20"/>
      <c r="G43" s="17" t="n">
        <f aca="false">IFERROR(__xludf.dummyfunction("""COMPUTED_VALUE"""),45988.6666666666)</f>
        <v>45988.6666666666</v>
      </c>
      <c r="H43" s="18" t="n">
        <f aca="false">IFERROR(__xludf.dummyfunction("""COMPUTED_VALUE"""),14.01)</f>
        <v>14.01</v>
      </c>
      <c r="I43" s="19" t="n">
        <f aca="false">IFERROR(H43/H42-1,0)</f>
        <v>0.00142959256611852</v>
      </c>
      <c r="J43" s="20"/>
      <c r="L43" s="17" t="n">
        <f aca="false">IFERROR(__xludf.dummyfunction("""COMPUTED_VALUE"""),45988.6666666666)</f>
        <v>45988.6666666666</v>
      </c>
      <c r="M43" s="18" t="n">
        <f aca="false">IFERROR(__xludf.dummyfunction("""COMPUTED_VALUE"""),32.35)</f>
        <v>32.35</v>
      </c>
      <c r="N43" s="19" t="n">
        <f aca="false">IFERROR(M43/M42-1,0)</f>
        <v>0.00434647624961193</v>
      </c>
      <c r="V43" s="19" t="n">
        <f aca="false">IFERROR((D43+I43+N43)/3,0)</f>
        <v>0.00221383167938168</v>
      </c>
      <c r="W43" s="19" t="n">
        <f aca="false">IFERROR(0.3*D43+0.6*I43+0.1*N43,0)</f>
        <v>0.00155203103135668</v>
      </c>
    </row>
    <row r="44" customFormat="false" ht="12.75" hidden="false" customHeight="true" outlineLevel="0" collapsed="false">
      <c r="B44" s="17" t="n">
        <f aca="false">IFERROR(__xludf.dummyfunction("""COMPUTED_VALUE"""),45989.6666666666)</f>
        <v>45989.6666666666</v>
      </c>
      <c r="C44" s="18" t="n">
        <f aca="false">IFERROR(__xludf.dummyfunction("""COMPUTED_VALUE"""),46.43)</f>
        <v>46.43</v>
      </c>
      <c r="D44" s="19" t="n">
        <f aca="false">IFERROR(C44/C43-1,0)</f>
        <v>0.00367488110678771</v>
      </c>
      <c r="E44" s="20"/>
      <c r="G44" s="17" t="n">
        <f aca="false">IFERROR(__xludf.dummyfunction("""COMPUTED_VALUE"""),45989.6666666666)</f>
        <v>45989.6666666666</v>
      </c>
      <c r="H44" s="18" t="n">
        <f aca="false">IFERROR(__xludf.dummyfunction("""COMPUTED_VALUE"""),14.01)</f>
        <v>14.01</v>
      </c>
      <c r="I44" s="19" t="n">
        <f aca="false">IFERROR(H44/H43-1,0)</f>
        <v>0</v>
      </c>
      <c r="J44" s="20"/>
      <c r="L44" s="17" t="n">
        <f aca="false">IFERROR(__xludf.dummyfunction("""COMPUTED_VALUE"""),45989.6666666666)</f>
        <v>45989.6666666666</v>
      </c>
      <c r="M44" s="18" t="n">
        <f aca="false">IFERROR(__xludf.dummyfunction("""COMPUTED_VALUE"""),32.71)</f>
        <v>32.71</v>
      </c>
      <c r="N44" s="19" t="n">
        <f aca="false">IFERROR(M44/M43-1,0)</f>
        <v>0.01112828438949</v>
      </c>
      <c r="V44" s="19" t="n">
        <f aca="false">IFERROR((D44+I44+N44)/3,0)</f>
        <v>0.00493438849875923</v>
      </c>
      <c r="W44" s="19" t="n">
        <f aca="false">IFERROR(0.3*D44+0.6*I44+0.1*N44,0)</f>
        <v>0.00221529277098531</v>
      </c>
    </row>
    <row r="45" customFormat="false" ht="12.75" hidden="false" customHeight="true" outlineLevel="0" collapsed="false">
      <c r="B45" s="17" t="n">
        <f aca="false">IFERROR(__xludf.dummyfunction("""COMPUTED_VALUE"""),45992.6666666666)</f>
        <v>45992.6666666666</v>
      </c>
      <c r="C45" s="18" t="n">
        <f aca="false">IFERROR(__xludf.dummyfunction("""COMPUTED_VALUE"""),46)</f>
        <v>46</v>
      </c>
      <c r="D45" s="19" t="n">
        <f aca="false">IFERROR(C45/C44-1,0)</f>
        <v>-0.00926125349989226</v>
      </c>
      <c r="E45" s="20"/>
      <c r="G45" s="17" t="n">
        <f aca="false">IFERROR(__xludf.dummyfunction("""COMPUTED_VALUE"""),45992.6666666666)</f>
        <v>45992.6666666666</v>
      </c>
      <c r="H45" s="18" t="n">
        <f aca="false">IFERROR(__xludf.dummyfunction("""COMPUTED_VALUE"""),13.92)</f>
        <v>13.92</v>
      </c>
      <c r="I45" s="19" t="n">
        <f aca="false">IFERROR(H45/H44-1,0)</f>
        <v>-0.00642398286937895</v>
      </c>
      <c r="J45" s="20"/>
      <c r="L45" s="17" t="n">
        <f aca="false">IFERROR(__xludf.dummyfunction("""COMPUTED_VALUE"""),45992.6666666666)</f>
        <v>45992.6666666666</v>
      </c>
      <c r="M45" s="18" t="n">
        <f aca="false">IFERROR(__xludf.dummyfunction("""COMPUTED_VALUE"""),32.77)</f>
        <v>32.77</v>
      </c>
      <c r="N45" s="19" t="n">
        <f aca="false">IFERROR(M45/M44-1,0)</f>
        <v>0.00183430143686958</v>
      </c>
      <c r="V45" s="19" t="n">
        <f aca="false">IFERROR((D45+I45+N45)/3,0)</f>
        <v>-0.00461697831080055</v>
      </c>
      <c r="W45" s="19" t="n">
        <f aca="false">IFERROR(0.3*D45+0.6*I45+0.1*N45,0)</f>
        <v>-0.00644933562790809</v>
      </c>
    </row>
    <row r="46" customFormat="false" ht="12.75" hidden="false" customHeight="true" outlineLevel="0" collapsed="false">
      <c r="B46" s="17" t="n">
        <f aca="false">IFERROR(__xludf.dummyfunction("""COMPUTED_VALUE"""),45993.6666666666)</f>
        <v>45993.6666666666</v>
      </c>
      <c r="C46" s="18" t="n">
        <f aca="false">IFERROR(__xludf.dummyfunction("""COMPUTED_VALUE"""),46)</f>
        <v>46</v>
      </c>
      <c r="D46" s="19" t="n">
        <f aca="false">IFERROR(C46/C45-1,0)</f>
        <v>0</v>
      </c>
      <c r="E46" s="20"/>
      <c r="G46" s="17" t="n">
        <f aca="false">IFERROR(__xludf.dummyfunction("""COMPUTED_VALUE"""),45993.6666666666)</f>
        <v>45993.6666666666</v>
      </c>
      <c r="H46" s="18" t="n">
        <f aca="false">IFERROR(__xludf.dummyfunction("""COMPUTED_VALUE"""),13.92)</f>
        <v>13.92</v>
      </c>
      <c r="I46" s="19" t="n">
        <f aca="false">IFERROR(H46/H45-1,0)</f>
        <v>0</v>
      </c>
      <c r="J46" s="20"/>
      <c r="L46" s="17" t="n">
        <f aca="false">IFERROR(__xludf.dummyfunction("""COMPUTED_VALUE"""),45993.6666666666)</f>
        <v>45993.6666666666</v>
      </c>
      <c r="M46" s="18" t="n">
        <f aca="false">IFERROR(__xludf.dummyfunction("""COMPUTED_VALUE"""),32.54)</f>
        <v>32.54</v>
      </c>
      <c r="N46" s="19" t="n">
        <f aca="false">IFERROR(M46/M45-1,0)</f>
        <v>-0.00701861458651221</v>
      </c>
      <c r="V46" s="19" t="n">
        <f aca="false">IFERROR((D46+I46+N46)/3,0)</f>
        <v>-0.00233953819550407</v>
      </c>
      <c r="W46" s="19" t="n">
        <f aca="false">IFERROR(0.3*D46+0.6*I46+0.1*N46,0)</f>
        <v>-0.000701861458651221</v>
      </c>
    </row>
    <row r="47" customFormat="false" ht="12.75" hidden="false" customHeight="true" outlineLevel="0" collapsed="false">
      <c r="B47" s="17" t="n">
        <f aca="false">IFERROR(__xludf.dummyfunction("""COMPUTED_VALUE"""),45994.6666666666)</f>
        <v>45994.6666666666</v>
      </c>
      <c r="C47" s="18" t="n">
        <f aca="false">IFERROR(__xludf.dummyfunction("""COMPUTED_VALUE"""),46.17)</f>
        <v>46.17</v>
      </c>
      <c r="D47" s="19" t="n">
        <f aca="false">IFERROR(C47/C46-1,0)</f>
        <v>0.0036956521739131</v>
      </c>
      <c r="E47" s="20"/>
      <c r="G47" s="17" t="n">
        <f aca="false">IFERROR(__xludf.dummyfunction("""COMPUTED_VALUE"""),45994.6666666666)</f>
        <v>45994.6666666666</v>
      </c>
      <c r="H47" s="18" t="n">
        <f aca="false">IFERROR(__xludf.dummyfunction("""COMPUTED_VALUE"""),13.93)</f>
        <v>13.93</v>
      </c>
      <c r="I47" s="19" t="n">
        <f aca="false">IFERROR(H47/H46-1,0)</f>
        <v>0.000718390804597791</v>
      </c>
      <c r="J47" s="20"/>
      <c r="L47" s="17" t="n">
        <f aca="false">IFERROR(__xludf.dummyfunction("""COMPUTED_VALUE"""),45994.6666666666)</f>
        <v>45994.6666666666</v>
      </c>
      <c r="M47" s="18" t="n">
        <f aca="false">IFERROR(__xludf.dummyfunction("""COMPUTED_VALUE"""),32.52)</f>
        <v>32.52</v>
      </c>
      <c r="N47" s="19" t="n">
        <f aca="false">IFERROR(M47/M46-1,0)</f>
        <v>-0.000614628149969154</v>
      </c>
      <c r="V47" s="19" t="n">
        <f aca="false">IFERROR((D47+I47+N47)/3,0)</f>
        <v>0.00126647160951391</v>
      </c>
      <c r="W47" s="19" t="n">
        <f aca="false">IFERROR(0.3*D47+0.6*I47+0.1*N47,0)</f>
        <v>0.00147826731993569</v>
      </c>
    </row>
    <row r="48" customFormat="false" ht="12.75" hidden="false" customHeight="true" outlineLevel="0" collapsed="false">
      <c r="B48" s="17" t="n">
        <f aca="false">IFERROR(__xludf.dummyfunction("""COMPUTED_VALUE"""),45995.6666666666)</f>
        <v>45995.6666666666</v>
      </c>
      <c r="C48" s="18" t="n">
        <f aca="false">IFERROR(__xludf.dummyfunction("""COMPUTED_VALUE"""),46.66)</f>
        <v>46.66</v>
      </c>
      <c r="D48" s="19" t="n">
        <f aca="false">IFERROR(C48/C47-1,0)</f>
        <v>0.01061295213342</v>
      </c>
      <c r="E48" s="20"/>
      <c r="G48" s="17" t="n">
        <f aca="false">IFERROR(__xludf.dummyfunction("""COMPUTED_VALUE"""),45995.6666666666)</f>
        <v>45995.6666666666</v>
      </c>
      <c r="H48" s="18" t="n">
        <f aca="false">IFERROR(__xludf.dummyfunction("""COMPUTED_VALUE"""),13.89)</f>
        <v>13.89</v>
      </c>
      <c r="I48" s="19" t="n">
        <f aca="false">IFERROR(H48/H47-1,0)</f>
        <v>-0.00287150035893746</v>
      </c>
      <c r="J48" s="20"/>
      <c r="L48" s="17" t="n">
        <f aca="false">IFERROR(__xludf.dummyfunction("""COMPUTED_VALUE"""),45995.6666666666)</f>
        <v>45995.6666666666</v>
      </c>
      <c r="M48" s="18" t="n">
        <f aca="false">IFERROR(__xludf.dummyfunction("""COMPUTED_VALUE"""),32.58)</f>
        <v>32.58</v>
      </c>
      <c r="N48" s="19" t="n">
        <f aca="false">IFERROR(M48/M47-1,0)</f>
        <v>0.00184501845018437</v>
      </c>
      <c r="V48" s="19" t="n">
        <f aca="false">IFERROR((D48+I48+N48)/3,0)</f>
        <v>0.00319549007488895</v>
      </c>
      <c r="W48" s="19" t="n">
        <f aca="false">IFERROR(0.3*D48+0.6*I48+0.1*N48,0)</f>
        <v>0.00164548726968194</v>
      </c>
    </row>
    <row r="49" customFormat="false" ht="12.75" hidden="false" customHeight="true" outlineLevel="0" collapsed="false">
      <c r="B49" s="17" t="n">
        <f aca="false">IFERROR(__xludf.dummyfunction("""COMPUTED_VALUE"""),45996.6666666666)</f>
        <v>45996.6666666666</v>
      </c>
      <c r="C49" s="18" t="n">
        <f aca="false">IFERROR(__xludf.dummyfunction("""COMPUTED_VALUE"""),46.42)</f>
        <v>46.42</v>
      </c>
      <c r="D49" s="19" t="n">
        <f aca="false">IFERROR(C49/C48-1,0)</f>
        <v>-0.00514359194170588</v>
      </c>
      <c r="E49" s="20"/>
      <c r="G49" s="17" t="n">
        <f aca="false">IFERROR(__xludf.dummyfunction("""COMPUTED_VALUE"""),45996.6666666666)</f>
        <v>45996.6666666666</v>
      </c>
      <c r="H49" s="18" t="n">
        <f aca="false">IFERROR(__xludf.dummyfunction("""COMPUTED_VALUE"""),13.76)</f>
        <v>13.76</v>
      </c>
      <c r="I49" s="19" t="n">
        <f aca="false">IFERROR(H49/H48-1,0)</f>
        <v>-0.00935925125989923</v>
      </c>
      <c r="J49" s="20"/>
      <c r="L49" s="17" t="n">
        <f aca="false">IFERROR(__xludf.dummyfunction("""COMPUTED_VALUE"""),45996.6666666666)</f>
        <v>45996.6666666666</v>
      </c>
      <c r="M49" s="18" t="n">
        <f aca="false">IFERROR(__xludf.dummyfunction("""COMPUTED_VALUE"""),32.46)</f>
        <v>32.46</v>
      </c>
      <c r="N49" s="19" t="n">
        <f aca="false">IFERROR(M49/M48-1,0)</f>
        <v>-0.00368324125230191</v>
      </c>
      <c r="V49" s="19" t="n">
        <f aca="false">IFERROR((D49+I49+N49)/3,0)</f>
        <v>-0.00606202815130234</v>
      </c>
      <c r="W49" s="19" t="n">
        <f aca="false">IFERROR(0.3*D49+0.6*I49+0.1*N49,0)</f>
        <v>-0.00752695246368149</v>
      </c>
    </row>
    <row r="50" customFormat="false" ht="12.75" hidden="false" customHeight="true" outlineLevel="0" collapsed="false">
      <c r="B50" s="17" t="n">
        <f aca="false">IFERROR(__xludf.dummyfunction("""COMPUTED_VALUE"""),45999.6666666666)</f>
        <v>45999.6666666666</v>
      </c>
      <c r="C50" s="18" t="n">
        <f aca="false">IFERROR(__xludf.dummyfunction("""COMPUTED_VALUE"""),46.15)</f>
        <v>46.15</v>
      </c>
      <c r="D50" s="19" t="n">
        <f aca="false">IFERROR(C50/C49-1,0)</f>
        <v>-0.00581645842309353</v>
      </c>
      <c r="E50" s="20"/>
      <c r="G50" s="17" t="n">
        <f aca="false">IFERROR(__xludf.dummyfunction("""COMPUTED_VALUE"""),45999.6666666666)</f>
        <v>45999.6666666666</v>
      </c>
      <c r="H50" s="18" t="n">
        <f aca="false">IFERROR(__xludf.dummyfunction("""COMPUTED_VALUE"""),13.76)</f>
        <v>13.76</v>
      </c>
      <c r="I50" s="19" t="n">
        <f aca="false">IFERROR(H50/H49-1,0)</f>
        <v>0</v>
      </c>
      <c r="J50" s="20"/>
      <c r="L50" s="17" t="n">
        <f aca="false">IFERROR(__xludf.dummyfunction("""COMPUTED_VALUE"""),45999.6666666666)</f>
        <v>45999.6666666666</v>
      </c>
      <c r="M50" s="18" t="n">
        <f aca="false">IFERROR(__xludf.dummyfunction("""COMPUTED_VALUE"""),32.4)</f>
        <v>32.4</v>
      </c>
      <c r="N50" s="19" t="n">
        <f aca="false">IFERROR(M50/M49-1,0)</f>
        <v>-0.00184842883548986</v>
      </c>
      <c r="V50" s="19" t="n">
        <f aca="false">IFERROR((D50+I50+N50)/3,0)</f>
        <v>-0.0025549624195278</v>
      </c>
      <c r="W50" s="19" t="n">
        <f aca="false">IFERROR(0.3*D50+0.6*I50+0.1*N50,0)</f>
        <v>-0.00192978041047704</v>
      </c>
    </row>
    <row r="51" customFormat="false" ht="12.75" hidden="false" customHeight="true" outlineLevel="0" collapsed="false">
      <c r="B51" s="17" t="n">
        <f aca="false">IFERROR(__xludf.dummyfunction("""COMPUTED_VALUE"""),46000.6666666666)</f>
        <v>46000.6666666666</v>
      </c>
      <c r="C51" s="18" t="n">
        <f aca="false">IFERROR(__xludf.dummyfunction("""COMPUTED_VALUE"""),46.21)</f>
        <v>46.21</v>
      </c>
      <c r="D51" s="19" t="n">
        <f aca="false">IFERROR(C51/C50-1,0)</f>
        <v>0.00130010834236183</v>
      </c>
      <c r="E51" s="20"/>
      <c r="G51" s="17" t="n">
        <f aca="false">IFERROR(__xludf.dummyfunction("""COMPUTED_VALUE"""),46000.6666666666)</f>
        <v>46000.6666666666</v>
      </c>
      <c r="H51" s="18" t="n">
        <f aca="false">IFERROR(__xludf.dummyfunction("""COMPUTED_VALUE"""),13.73)</f>
        <v>13.73</v>
      </c>
      <c r="I51" s="19" t="n">
        <f aca="false">IFERROR(H51/H50-1,0)</f>
        <v>-0.00218023255813948</v>
      </c>
      <c r="J51" s="20"/>
      <c r="L51" s="17" t="n">
        <f aca="false">IFERROR(__xludf.dummyfunction("""COMPUTED_VALUE"""),46000.6666666666)</f>
        <v>46000.6666666666</v>
      </c>
      <c r="M51" s="18" t="n">
        <f aca="false">IFERROR(__xludf.dummyfunction("""COMPUTED_VALUE"""),32.55)</f>
        <v>32.55</v>
      </c>
      <c r="N51" s="19" t="n">
        <f aca="false">IFERROR(M51/M50-1,0)</f>
        <v>0.00462962962962954</v>
      </c>
      <c r="V51" s="19" t="n">
        <f aca="false">IFERROR((D51+I51+N51)/3,0)</f>
        <v>0.00124983513795063</v>
      </c>
      <c r="W51" s="19" t="n">
        <f aca="false">IFERROR(0.3*D51+0.6*I51+0.1*N51,0)</f>
        <v>-0.000455144069212188</v>
      </c>
    </row>
    <row r="52" customFormat="false" ht="12.75" hidden="false" customHeight="true" outlineLevel="0" collapsed="false">
      <c r="B52" s="17" t="n">
        <f aca="false">IFERROR(__xludf.dummyfunction("""COMPUTED_VALUE"""),46001.6666666666)</f>
        <v>46001.6666666666</v>
      </c>
      <c r="C52" s="18" t="n">
        <f aca="false">IFERROR(__xludf.dummyfunction("""COMPUTED_VALUE"""),46.57)</f>
        <v>46.57</v>
      </c>
      <c r="D52" s="19" t="n">
        <f aca="false">IFERROR(C52/C51-1,0)</f>
        <v>0.00779052153213589</v>
      </c>
      <c r="E52" s="20"/>
      <c r="G52" s="17" t="n">
        <f aca="false">IFERROR(__xludf.dummyfunction("""COMPUTED_VALUE"""),46001.6666666666)</f>
        <v>46001.6666666666</v>
      </c>
      <c r="H52" s="18" t="n">
        <f aca="false">IFERROR(__xludf.dummyfunction("""COMPUTED_VALUE"""),13.76)</f>
        <v>13.76</v>
      </c>
      <c r="I52" s="19" t="n">
        <f aca="false">IFERROR(H52/H51-1,0)</f>
        <v>0.00218499635833935</v>
      </c>
      <c r="J52" s="20"/>
      <c r="L52" s="17" t="n">
        <f aca="false">IFERROR(__xludf.dummyfunction("""COMPUTED_VALUE"""),46001.6666666666)</f>
        <v>46001.6666666666</v>
      </c>
      <c r="M52" s="18" t="n">
        <f aca="false">IFERROR(__xludf.dummyfunction("""COMPUTED_VALUE"""),32.61)</f>
        <v>32.61</v>
      </c>
      <c r="N52" s="19" t="n">
        <f aca="false">IFERROR(M52/M51-1,0)</f>
        <v>0.00184331797235027</v>
      </c>
      <c r="V52" s="19" t="n">
        <f aca="false">IFERROR((D52+I52+N52)/3,0)</f>
        <v>0.00393961195427517</v>
      </c>
      <c r="W52" s="19" t="n">
        <f aca="false">IFERROR(0.3*D52+0.6*I52+0.1*N52,0)</f>
        <v>0.0038324860718794</v>
      </c>
    </row>
    <row r="53" customFormat="false" ht="12.75" hidden="false" customHeight="true" outlineLevel="0" collapsed="false">
      <c r="B53" s="17" t="n">
        <f aca="false">IFERROR(__xludf.dummyfunction("""COMPUTED_VALUE"""),46002.6666666666)</f>
        <v>46002.6666666666</v>
      </c>
      <c r="C53" s="18" t="n">
        <f aca="false">IFERROR(__xludf.dummyfunction("""COMPUTED_VALUE"""),46.8)</f>
        <v>46.8</v>
      </c>
      <c r="D53" s="19" t="n">
        <f aca="false">IFERROR(C53/C52-1,0)</f>
        <v>0.00493880180373618</v>
      </c>
      <c r="E53" s="20"/>
      <c r="G53" s="17" t="n">
        <f aca="false">IFERROR(__xludf.dummyfunction("""COMPUTED_VALUE"""),46002.6666666666)</f>
        <v>46002.6666666666</v>
      </c>
      <c r="H53" s="18" t="n">
        <f aca="false">IFERROR(__xludf.dummyfunction("""COMPUTED_VALUE"""),13.78)</f>
        <v>13.78</v>
      </c>
      <c r="I53" s="19" t="n">
        <f aca="false">IFERROR(H53/H52-1,0)</f>
        <v>0.00145348837209291</v>
      </c>
      <c r="J53" s="20"/>
      <c r="L53" s="17" t="n">
        <f aca="false">IFERROR(__xludf.dummyfunction("""COMPUTED_VALUE"""),46002.6666666666)</f>
        <v>46002.6666666666</v>
      </c>
      <c r="M53" s="18" t="n">
        <f aca="false">IFERROR(__xludf.dummyfunction("""COMPUTED_VALUE"""),33.04)</f>
        <v>33.04</v>
      </c>
      <c r="N53" s="19" t="n">
        <f aca="false">IFERROR(M53/M52-1,0)</f>
        <v>0.0131861392210979</v>
      </c>
      <c r="V53" s="19" t="n">
        <f aca="false">IFERROR((D53+I53+N53)/3,0)</f>
        <v>0.006526143132309</v>
      </c>
      <c r="W53" s="19" t="n">
        <f aca="false">IFERROR(0.3*D53+0.6*I53+0.1*N53,0)</f>
        <v>0.00367234748648639</v>
      </c>
    </row>
    <row r="54" customFormat="false" ht="12.75" hidden="false" customHeight="true" outlineLevel="0" collapsed="false">
      <c r="B54" s="17" t="n">
        <f aca="false">IFERROR(__xludf.dummyfunction("""COMPUTED_VALUE"""),46003.6666666666)</f>
        <v>46003.6666666666</v>
      </c>
      <c r="C54" s="18" t="n">
        <f aca="false">IFERROR(__xludf.dummyfunction("""COMPUTED_VALUE"""),46.7)</f>
        <v>46.7</v>
      </c>
      <c r="D54" s="19" t="n">
        <f aca="false">IFERROR(C54/C53-1,0)</f>
        <v>-0.00213675213675202</v>
      </c>
      <c r="E54" s="20"/>
      <c r="G54" s="17" t="n">
        <f aca="false">IFERROR(__xludf.dummyfunction("""COMPUTED_VALUE"""),46003.6666666666)</f>
        <v>46003.6666666666</v>
      </c>
      <c r="H54" s="18" t="n">
        <f aca="false">IFERROR(__xludf.dummyfunction("""COMPUTED_VALUE"""),13.77)</f>
        <v>13.77</v>
      </c>
      <c r="I54" s="19" t="n">
        <f aca="false">IFERROR(H54/H53-1,0)</f>
        <v>-0.000725689404934671</v>
      </c>
      <c r="J54" s="20"/>
      <c r="L54" s="17" t="n">
        <f aca="false">IFERROR(__xludf.dummyfunction("""COMPUTED_VALUE"""),46003.6666666666)</f>
        <v>46003.6666666666</v>
      </c>
      <c r="M54" s="18" t="n">
        <f aca="false">IFERROR(__xludf.dummyfunction("""COMPUTED_VALUE"""),33.22)</f>
        <v>33.22</v>
      </c>
      <c r="N54" s="19" t="n">
        <f aca="false">IFERROR(M54/M53-1,0)</f>
        <v>0.00544794188861975</v>
      </c>
      <c r="V54" s="19" t="n">
        <f aca="false">IFERROR((D54+I54+N54)/3,0)</f>
        <v>0.000861833448977685</v>
      </c>
      <c r="W54" s="19" t="n">
        <f aca="false">IFERROR(0.3*D54+0.6*I54+0.1*N54,0)</f>
        <v>-0.000531645095124434</v>
      </c>
    </row>
    <row r="55" customFormat="false" ht="12.75" hidden="false" customHeight="true" outlineLevel="0" collapsed="false">
      <c r="B55" s="17" t="n">
        <f aca="false">IFERROR(__xludf.dummyfunction("""COMPUTED_VALUE"""),46006.6666666666)</f>
        <v>46006.6666666666</v>
      </c>
      <c r="C55" s="18" t="n">
        <f aca="false">IFERROR(__xludf.dummyfunction("""COMPUTED_VALUE"""),46.65)</f>
        <v>46.65</v>
      </c>
      <c r="D55" s="19" t="n">
        <f aca="false">IFERROR(C55/C54-1,0)</f>
        <v>-0.00107066381156329</v>
      </c>
      <c r="E55" s="20"/>
      <c r="G55" s="17" t="n">
        <f aca="false">IFERROR(__xludf.dummyfunction("""COMPUTED_VALUE"""),46006.6666666666)</f>
        <v>46006.6666666666</v>
      </c>
      <c r="H55" s="18" t="n">
        <f aca="false">IFERROR(__xludf.dummyfunction("""COMPUTED_VALUE"""),13.8)</f>
        <v>13.8</v>
      </c>
      <c r="I55" s="19" t="n">
        <f aca="false">IFERROR(H55/H54-1,0)</f>
        <v>0.00217864923747291</v>
      </c>
      <c r="J55" s="20"/>
      <c r="L55" s="17" t="n">
        <f aca="false">IFERROR(__xludf.dummyfunction("""COMPUTED_VALUE"""),46006.6666666666)</f>
        <v>46006.6666666666</v>
      </c>
      <c r="M55" s="18" t="n">
        <f aca="false">IFERROR(__xludf.dummyfunction("""COMPUTED_VALUE"""),33.15)</f>
        <v>33.15</v>
      </c>
      <c r="N55" s="19" t="n">
        <f aca="false">IFERROR(M55/M54-1,0)</f>
        <v>-0.00210716435881997</v>
      </c>
      <c r="V55" s="19" t="n">
        <f aca="false">IFERROR((D55+I55+N55)/3,0)</f>
        <v>-0.00033305964430345</v>
      </c>
      <c r="W55" s="19" t="n">
        <f aca="false">IFERROR(0.3*D55+0.6*I55+0.1*N55,0)</f>
        <v>0.000775273963132761</v>
      </c>
    </row>
    <row r="56" customFormat="false" ht="12.75" hidden="false" customHeight="true" outlineLevel="0" collapsed="false">
      <c r="B56" s="17" t="n">
        <f aca="false">IFERROR(__xludf.dummyfunction("""COMPUTED_VALUE"""),46007.6666666666)</f>
        <v>46007.6666666666</v>
      </c>
      <c r="C56" s="18" t="n">
        <f aca="false">IFERROR(__xludf.dummyfunction("""COMPUTED_VALUE"""),46.31)</f>
        <v>46.31</v>
      </c>
      <c r="D56" s="19" t="n">
        <f aca="false">IFERROR(C56/C55-1,0)</f>
        <v>-0.00728831725616286</v>
      </c>
      <c r="E56" s="20"/>
      <c r="G56" s="17" t="n">
        <f aca="false">IFERROR(__xludf.dummyfunction("""COMPUTED_VALUE"""),46007.6666666666)</f>
        <v>46007.6666666666</v>
      </c>
      <c r="H56" s="18" t="n">
        <f aca="false">IFERROR(__xludf.dummyfunction("""COMPUTED_VALUE"""),13.82)</f>
        <v>13.82</v>
      </c>
      <c r="I56" s="19" t="n">
        <f aca="false">IFERROR(H56/H55-1,0)</f>
        <v>0.00144927536231876</v>
      </c>
      <c r="J56" s="20"/>
      <c r="L56" s="17" t="n">
        <f aca="false">IFERROR(__xludf.dummyfunction("""COMPUTED_VALUE"""),46007.6666666666)</f>
        <v>46007.6666666666</v>
      </c>
      <c r="M56" s="18" t="n">
        <f aca="false">IFERROR(__xludf.dummyfunction("""COMPUTED_VALUE"""),33.21)</f>
        <v>33.21</v>
      </c>
      <c r="N56" s="19" t="n">
        <f aca="false">IFERROR(M56/M55-1,0)</f>
        <v>0.00180995475113122</v>
      </c>
      <c r="V56" s="19" t="n">
        <f aca="false">IFERROR((D56+I56+N56)/3,0)</f>
        <v>-0.00134302904757096</v>
      </c>
      <c r="W56" s="19" t="n">
        <f aca="false">IFERROR(0.3*D56+0.6*I56+0.1*N56,0)</f>
        <v>-0.00113593448434448</v>
      </c>
    </row>
    <row r="57" customFormat="false" ht="12.75" hidden="false" customHeight="true" outlineLevel="0" collapsed="false">
      <c r="B57" s="17" t="n">
        <f aca="false">IFERROR(__xludf.dummyfunction("""COMPUTED_VALUE"""),46008.6666666666)</f>
        <v>46008.6666666666</v>
      </c>
      <c r="C57" s="18" t="n">
        <f aca="false">IFERROR(__xludf.dummyfunction("""COMPUTED_VALUE"""),46.31)</f>
        <v>46.31</v>
      </c>
      <c r="D57" s="19" t="n">
        <f aca="false">IFERROR(C57/C56-1,0)</f>
        <v>0</v>
      </c>
      <c r="E57" s="20"/>
      <c r="G57" s="17" t="n">
        <f aca="false">IFERROR(__xludf.dummyfunction("""COMPUTED_VALUE"""),46008.6666666666)</f>
        <v>46008.6666666666</v>
      </c>
      <c r="H57" s="18" t="n">
        <f aca="false">IFERROR(__xludf.dummyfunction("""COMPUTED_VALUE"""),13.79)</f>
        <v>13.79</v>
      </c>
      <c r="I57" s="19" t="n">
        <f aca="false">IFERROR(H57/H56-1,0)</f>
        <v>-0.0021707670043416</v>
      </c>
      <c r="J57" s="20"/>
      <c r="L57" s="17" t="n">
        <f aca="false">IFERROR(__xludf.dummyfunction("""COMPUTED_VALUE"""),46008.6666666666)</f>
        <v>46008.6666666666</v>
      </c>
      <c r="M57" s="18" t="n">
        <f aca="false">IFERROR(__xludf.dummyfunction("""COMPUTED_VALUE"""),33.45)</f>
        <v>33.45</v>
      </c>
      <c r="N57" s="19" t="n">
        <f aca="false">IFERROR(M57/M56-1,0)</f>
        <v>0.00722673893405612</v>
      </c>
      <c r="V57" s="19" t="n">
        <f aca="false">IFERROR((D57+I57+N57)/3,0)</f>
        <v>0.00168532397657151</v>
      </c>
      <c r="W57" s="19" t="n">
        <f aca="false">IFERROR(0.3*D57+0.6*I57+0.1*N57,0)</f>
        <v>-0.000579786309199348</v>
      </c>
    </row>
    <row r="58" customFormat="false" ht="12.75" hidden="false" customHeight="true" outlineLevel="0" collapsed="false">
      <c r="B58" s="17" t="n">
        <f aca="false">IFERROR(__xludf.dummyfunction("""COMPUTED_VALUE"""),46009.6666666666)</f>
        <v>46009.6666666666</v>
      </c>
      <c r="C58" s="18" t="n">
        <f aca="false">IFERROR(__xludf.dummyfunction("""COMPUTED_VALUE"""),46.67)</f>
        <v>46.67</v>
      </c>
      <c r="D58" s="19" t="n">
        <f aca="false">IFERROR(C58/C57-1,0)</f>
        <v>0.0077736989851005</v>
      </c>
      <c r="E58" s="20"/>
      <c r="G58" s="17" t="n">
        <f aca="false">IFERROR(__xludf.dummyfunction("""COMPUTED_VALUE"""),46009.6666666666)</f>
        <v>46009.6666666666</v>
      </c>
      <c r="H58" s="18" t="n">
        <f aca="false">IFERROR(__xludf.dummyfunction("""COMPUTED_VALUE"""),13.79)</f>
        <v>13.79</v>
      </c>
      <c r="I58" s="19" t="n">
        <f aca="false">IFERROR(H58/H57-1,0)</f>
        <v>0</v>
      </c>
      <c r="J58" s="20"/>
      <c r="L58" s="17" t="n">
        <f aca="false">IFERROR(__xludf.dummyfunction("""COMPUTED_VALUE"""),46009.6666666666)</f>
        <v>46009.6666666666</v>
      </c>
      <c r="M58" s="18" t="n">
        <f aca="false">IFERROR(__xludf.dummyfunction("""COMPUTED_VALUE"""),33.38)</f>
        <v>33.38</v>
      </c>
      <c r="N58" s="19" t="n">
        <f aca="false">IFERROR(M58/M57-1,0)</f>
        <v>-0.00209267563527649</v>
      </c>
      <c r="V58" s="19" t="n">
        <f aca="false">IFERROR((D58+I58+N58)/3,0)</f>
        <v>0.00189367444994134</v>
      </c>
      <c r="W58" s="19" t="n">
        <f aca="false">IFERROR(0.3*D58+0.6*I58+0.1*N58,0)</f>
        <v>0.0021228421320025</v>
      </c>
    </row>
    <row r="59" customFormat="false" ht="12.75" hidden="false" customHeight="true" outlineLevel="0" collapsed="false">
      <c r="B59" s="17" t="n">
        <f aca="false">IFERROR(__xludf.dummyfunction("""COMPUTED_VALUE"""),46010.6666666666)</f>
        <v>46010.6666666666</v>
      </c>
      <c r="C59" s="18" t="n">
        <f aca="false">IFERROR(__xludf.dummyfunction("""COMPUTED_VALUE"""),47.06)</f>
        <v>47.06</v>
      </c>
      <c r="D59" s="19" t="n">
        <f aca="false">IFERROR(C59/C58-1,0)</f>
        <v>0.00835654596100288</v>
      </c>
      <c r="E59" s="20"/>
      <c r="G59" s="17" t="n">
        <f aca="false">IFERROR(__xludf.dummyfunction("""COMPUTED_VALUE"""),46010.6666666666)</f>
        <v>46010.6666666666</v>
      </c>
      <c r="H59" s="18" t="n">
        <f aca="false">IFERROR(__xludf.dummyfunction("""COMPUTED_VALUE"""),13.76)</f>
        <v>13.76</v>
      </c>
      <c r="I59" s="19" t="n">
        <f aca="false">IFERROR(H59/H58-1,0)</f>
        <v>-0.00217548948513413</v>
      </c>
      <c r="J59" s="20"/>
      <c r="L59" s="17" t="n">
        <f aca="false">IFERROR(__xludf.dummyfunction("""COMPUTED_VALUE"""),46010.6666666666)</f>
        <v>46010.6666666666</v>
      </c>
      <c r="M59" s="18" t="n">
        <f aca="false">IFERROR(__xludf.dummyfunction("""COMPUTED_VALUE"""),33.5)</f>
        <v>33.5</v>
      </c>
      <c r="N59" s="19" t="n">
        <f aca="false">IFERROR(M59/M58-1,0)</f>
        <v>0.00359496704613527</v>
      </c>
      <c r="V59" s="19" t="n">
        <f aca="false">IFERROR((D59+I59+N59)/3,0)</f>
        <v>0.00325867450733467</v>
      </c>
      <c r="W59" s="19" t="n">
        <f aca="false">IFERROR(0.3*D59+0.6*I59+0.1*N59,0)</f>
        <v>0.00156116680183391</v>
      </c>
    </row>
    <row r="60" customFormat="false" ht="12.75" hidden="false" customHeight="true" outlineLevel="0" collapsed="false">
      <c r="B60" s="17" t="n">
        <f aca="false">IFERROR(__xludf.dummyfunction("""COMPUTED_VALUE"""),46013.6666666666)</f>
        <v>46013.6666666666</v>
      </c>
      <c r="C60" s="18" t="n">
        <f aca="false">IFERROR(__xludf.dummyfunction("""COMPUTED_VALUE"""),47.29)</f>
        <v>47.29</v>
      </c>
      <c r="D60" s="19" t="n">
        <f aca="false">IFERROR(C60/C59-1,0)</f>
        <v>0.00488737781555448</v>
      </c>
      <c r="E60" s="20"/>
      <c r="G60" s="17" t="n">
        <f aca="false">IFERROR(__xludf.dummyfunction("""COMPUTED_VALUE"""),46013.6666666666)</f>
        <v>46013.6666666666</v>
      </c>
      <c r="H60" s="18" t="n">
        <f aca="false">IFERROR(__xludf.dummyfunction("""COMPUTED_VALUE"""),13.78)</f>
        <v>13.78</v>
      </c>
      <c r="I60" s="19" t="n">
        <f aca="false">IFERROR(H60/H59-1,0)</f>
        <v>0.00145348837209291</v>
      </c>
      <c r="J60" s="20"/>
      <c r="L60" s="17" t="n">
        <f aca="false">IFERROR(__xludf.dummyfunction("""COMPUTED_VALUE"""),46013.6666666666)</f>
        <v>46013.6666666666</v>
      </c>
      <c r="M60" s="18" t="n">
        <f aca="false">IFERROR(__xludf.dummyfunction("""COMPUTED_VALUE"""),34.23)</f>
        <v>34.23</v>
      </c>
      <c r="N60" s="19" t="n">
        <f aca="false">IFERROR(M60/M59-1,0)</f>
        <v>0.0217910447761194</v>
      </c>
      <c r="V60" s="19" t="n">
        <f aca="false">IFERROR((D60+I60+N60)/3,0)</f>
        <v>0.00937730365458892</v>
      </c>
      <c r="W60" s="19" t="n">
        <f aca="false">IFERROR(0.3*D60+0.6*I60+0.1*N60,0)</f>
        <v>0.00451741084553403</v>
      </c>
    </row>
    <row r="61" customFormat="false" ht="12.75" hidden="false" customHeight="true" outlineLevel="0" collapsed="false">
      <c r="B61" s="17" t="n">
        <f aca="false">IFERROR(__xludf.dummyfunction("""COMPUTED_VALUE"""),46014.6666666666)</f>
        <v>46014.6666666666</v>
      </c>
      <c r="C61" s="18" t="n">
        <f aca="false">IFERROR(__xludf.dummyfunction("""COMPUTED_VALUE"""),47.38)</f>
        <v>47.38</v>
      </c>
      <c r="D61" s="19" t="n">
        <f aca="false">IFERROR(C61/C60-1,0)</f>
        <v>0.00190315077183345</v>
      </c>
      <c r="E61" s="20"/>
      <c r="G61" s="17" t="n">
        <f aca="false">IFERROR(__xludf.dummyfunction("""COMPUTED_VALUE"""),46014.6666666666)</f>
        <v>46014.6666666666</v>
      </c>
      <c r="H61" s="18" t="n">
        <f aca="false">IFERROR(__xludf.dummyfunction("""COMPUTED_VALUE"""),13.83)</f>
        <v>13.83</v>
      </c>
      <c r="I61" s="19" t="n">
        <f aca="false">IFERROR(H61/H60-1,0)</f>
        <v>0.00362844702467346</v>
      </c>
      <c r="J61" s="20"/>
      <c r="L61" s="17" t="n">
        <f aca="false">IFERROR(__xludf.dummyfunction("""COMPUTED_VALUE"""),46014.6666666666)</f>
        <v>46014.6666666666</v>
      </c>
      <c r="M61" s="18" t="n">
        <f aca="false">IFERROR(__xludf.dummyfunction("""COMPUTED_VALUE"""),34.69)</f>
        <v>34.69</v>
      </c>
      <c r="N61" s="19" t="n">
        <f aca="false">IFERROR(M61/M60-1,0)</f>
        <v>0.0134385042360503</v>
      </c>
      <c r="V61" s="19" t="n">
        <f aca="false">IFERROR((D61+I61+N61)/3,0)</f>
        <v>0.00632336734418574</v>
      </c>
      <c r="W61" s="19" t="n">
        <f aca="false">IFERROR(0.3*D61+0.6*I61+0.1*N61,0)</f>
        <v>0.00409186386995914</v>
      </c>
    </row>
    <row r="62" customFormat="false" ht="12.75" hidden="false" customHeight="true" outlineLevel="0" collapsed="false">
      <c r="B62" s="17" t="n">
        <f aca="false">IFERROR(__xludf.dummyfunction("""COMPUTED_VALUE"""),46015.5416666666)</f>
        <v>46015.5416666666</v>
      </c>
      <c r="C62" s="18" t="n">
        <f aca="false">IFERROR(__xludf.dummyfunction("""COMPUTED_VALUE"""),47.36)</f>
        <v>47.36</v>
      </c>
      <c r="D62" s="19" t="n">
        <f aca="false">IFERROR(C62/C61-1,0)</f>
        <v>-0.000422119037568613</v>
      </c>
      <c r="E62" s="20"/>
      <c r="G62" s="17" t="n">
        <f aca="false">IFERROR(__xludf.dummyfunction("""COMPUTED_VALUE"""),46015.5416666666)</f>
        <v>46015.5416666666</v>
      </c>
      <c r="H62" s="18" t="n">
        <f aca="false">IFERROR(__xludf.dummyfunction("""COMPUTED_VALUE"""),13.84)</f>
        <v>13.84</v>
      </c>
      <c r="I62" s="19" t="n">
        <f aca="false">IFERROR(H62/H61-1,0)</f>
        <v>0.000723065798987621</v>
      </c>
      <c r="J62" s="20"/>
      <c r="L62" s="17" t="n">
        <f aca="false">IFERROR(__xludf.dummyfunction("""COMPUTED_VALUE"""),46015.5416666666)</f>
        <v>46015.5416666666</v>
      </c>
      <c r="M62" s="18" t="n">
        <f aca="false">IFERROR(__xludf.dummyfunction("""COMPUTED_VALUE"""),34.47)</f>
        <v>34.47</v>
      </c>
      <c r="N62" s="19" t="n">
        <f aca="false">IFERROR(M62/M61-1,0)</f>
        <v>-0.00634188526953006</v>
      </c>
      <c r="V62" s="19" t="n">
        <f aca="false">IFERROR((D62+I62+N62)/3,0)</f>
        <v>-0.00201364616937035</v>
      </c>
      <c r="W62" s="19" t="n">
        <f aca="false">IFERROR(0.3*D62+0.6*I62+0.1*N62,0)</f>
        <v>-0.000326984758831017</v>
      </c>
    </row>
    <row r="63" customFormat="false" ht="12.75" hidden="false" customHeight="true" outlineLevel="0" collapsed="false">
      <c r="B63" s="17" t="n">
        <f aca="false">IFERROR(__xludf.dummyfunction("""COMPUTED_VALUE"""),46020.6666666666)</f>
        <v>46020.6666666666</v>
      </c>
      <c r="C63" s="18" t="n">
        <f aca="false">IFERROR(__xludf.dummyfunction("""COMPUTED_VALUE"""),47.27)</f>
        <v>47.27</v>
      </c>
      <c r="D63" s="19" t="n">
        <f aca="false">IFERROR(C63/C62-1,0)</f>
        <v>-0.00190033783783772</v>
      </c>
      <c r="E63" s="20"/>
      <c r="G63" s="17" t="n">
        <f aca="false">IFERROR(__xludf.dummyfunction("""COMPUTED_VALUE"""),46020.6666666666)</f>
        <v>46020.6666666666</v>
      </c>
      <c r="H63" s="18" t="n">
        <f aca="false">IFERROR(__xludf.dummyfunction("""COMPUTED_VALUE"""),13.86)</f>
        <v>13.86</v>
      </c>
      <c r="I63" s="19" t="n">
        <f aca="false">IFERROR(H63/H62-1,0)</f>
        <v>0.00144508670520227</v>
      </c>
      <c r="J63" s="20"/>
      <c r="L63" s="17" t="n">
        <f aca="false">IFERROR(__xludf.dummyfunction("""COMPUTED_VALUE"""),46020.6666666666)</f>
        <v>46020.6666666666</v>
      </c>
      <c r="M63" s="18" t="n">
        <f aca="false">IFERROR(__xludf.dummyfunction("""COMPUTED_VALUE"""),33.43)</f>
        <v>33.43</v>
      </c>
      <c r="N63" s="19" t="n">
        <f aca="false">IFERROR(M63/M62-1,0)</f>
        <v>-0.0301711633304322</v>
      </c>
      <c r="V63" s="19" t="n">
        <f aca="false">IFERROR((D63+I63+N63)/3,0)</f>
        <v>-0.0102088048210226</v>
      </c>
      <c r="W63" s="19" t="n">
        <f aca="false">IFERROR(0.3*D63+0.6*I63+0.1*N63,0)</f>
        <v>-0.00272016566127318</v>
      </c>
    </row>
    <row r="64" customFormat="false" ht="12.75" hidden="false" customHeight="true" outlineLevel="0" collapsed="false">
      <c r="B64" s="17" t="n">
        <f aca="false">IFERROR(__xludf.dummyfunction("""COMPUTED_VALUE"""),46021.6666666666)</f>
        <v>46021.6666666666</v>
      </c>
      <c r="C64" s="18" t="n">
        <f aca="false">IFERROR(__xludf.dummyfunction("""COMPUTED_VALUE"""),47.22)</f>
        <v>47.22</v>
      </c>
      <c r="D64" s="19" t="n">
        <f aca="false">IFERROR(C64/C63-1,0)</f>
        <v>-0.00105775333192304</v>
      </c>
      <c r="E64" s="20"/>
      <c r="G64" s="17" t="n">
        <f aca="false">IFERROR(__xludf.dummyfunction("""COMPUTED_VALUE"""),46021.6666666666)</f>
        <v>46021.6666666666</v>
      </c>
      <c r="H64" s="18" t="n">
        <f aca="false">IFERROR(__xludf.dummyfunction("""COMPUTED_VALUE"""),13.78)</f>
        <v>13.78</v>
      </c>
      <c r="I64" s="19" t="n">
        <f aca="false">IFERROR(H64/H63-1,0)</f>
        <v>-0.00577200577200576</v>
      </c>
      <c r="J64" s="20"/>
      <c r="L64" s="17" t="n">
        <f aca="false">IFERROR(__xludf.dummyfunction("""COMPUTED_VALUE"""),46021.6666666666)</f>
        <v>46021.6666666666</v>
      </c>
      <c r="M64" s="18" t="n">
        <f aca="false">IFERROR(__xludf.dummyfunction("""COMPUTED_VALUE"""),33.5)</f>
        <v>33.5</v>
      </c>
      <c r="N64" s="19" t="n">
        <f aca="false">IFERROR(M64/M63-1,0)</f>
        <v>0.00209392760993121</v>
      </c>
      <c r="V64" s="19" t="n">
        <f aca="false">IFERROR((D64+I64+N64)/3,0)</f>
        <v>-0.0015786104979992</v>
      </c>
      <c r="W64" s="19" t="n">
        <f aca="false">IFERROR(0.3*D64+0.6*I64+0.1*N64,0)</f>
        <v>-0.00357113670178725</v>
      </c>
    </row>
    <row r="65" customFormat="false" ht="12.75" hidden="false" customHeight="true" outlineLevel="0" collapsed="false">
      <c r="B65" s="17" t="n">
        <f aca="false">IFERROR(__xludf.dummyfunction("""COMPUTED_VALUE"""),46022.6666666666)</f>
        <v>46022.6666666666</v>
      </c>
      <c r="C65" s="18" t="n">
        <f aca="false">IFERROR(__xludf.dummyfunction("""COMPUTED_VALUE"""),46.99)</f>
        <v>46.99</v>
      </c>
      <c r="D65" s="19" t="n">
        <f aca="false">IFERROR(C65/C64-1,0)</f>
        <v>-0.00487081745023288</v>
      </c>
      <c r="E65" s="20"/>
      <c r="G65" s="17" t="n">
        <f aca="false">IFERROR(__xludf.dummyfunction("""COMPUTED_VALUE"""),46022.6666666666)</f>
        <v>46022.6666666666</v>
      </c>
      <c r="H65" s="18" t="n">
        <f aca="false">IFERROR(__xludf.dummyfunction("""COMPUTED_VALUE"""),13.78)</f>
        <v>13.78</v>
      </c>
      <c r="I65" s="19" t="n">
        <f aca="false">IFERROR(H65/H64-1,0)</f>
        <v>0</v>
      </c>
      <c r="J65" s="20"/>
      <c r="L65" s="17" t="n">
        <f aca="false">IFERROR(__xludf.dummyfunction("""COMPUTED_VALUE"""),46022.6666666666)</f>
        <v>46022.6666666666</v>
      </c>
      <c r="M65" s="18" t="n">
        <f aca="false">IFERROR(__xludf.dummyfunction("""COMPUTED_VALUE"""),33.2)</f>
        <v>33.2</v>
      </c>
      <c r="N65" s="19" t="n">
        <f aca="false">IFERROR(M65/M64-1,0)</f>
        <v>-0.00895522388059689</v>
      </c>
      <c r="V65" s="19" t="n">
        <f aca="false">IFERROR((D65+I65+N65)/3,0)</f>
        <v>-0.00460868044360992</v>
      </c>
      <c r="W65" s="19" t="n">
        <f aca="false">IFERROR(0.3*D65+0.6*I65+0.1*N65,0)</f>
        <v>-0.00235676762312955</v>
      </c>
    </row>
    <row r="66" customFormat="false" ht="12.75" hidden="false" customHeight="true" outlineLevel="0" collapsed="false">
      <c r="B66" s="17" t="n">
        <f aca="false">IFERROR(__xludf.dummyfunction("""COMPUTED_VALUE"""),46024.6666666666)</f>
        <v>46024.6666666666</v>
      </c>
      <c r="C66" s="18" t="n">
        <f aca="false">IFERROR(__xludf.dummyfunction("""COMPUTED_VALUE"""),47.25)</f>
        <v>47.25</v>
      </c>
      <c r="D66" s="19" t="n">
        <f aca="false">IFERROR(C66/C65-1,0)</f>
        <v>0.00553309214726538</v>
      </c>
      <c r="E66" s="20"/>
      <c r="G66" s="17" t="n">
        <f aca="false">IFERROR(__xludf.dummyfunction("""COMPUTED_VALUE"""),46024.6666666666)</f>
        <v>46024.6666666666</v>
      </c>
      <c r="H66" s="18" t="n">
        <f aca="false">IFERROR(__xludf.dummyfunction("""COMPUTED_VALUE"""),13.73)</f>
        <v>13.73</v>
      </c>
      <c r="I66" s="19" t="n">
        <f aca="false">IFERROR(H66/H65-1,0)</f>
        <v>-0.00362844702467335</v>
      </c>
      <c r="J66" s="20"/>
      <c r="L66" s="17" t="n">
        <f aca="false">IFERROR(__xludf.dummyfunction("""COMPUTED_VALUE"""),46024.6666666666)</f>
        <v>46024.6666666666</v>
      </c>
      <c r="M66" s="18" t="n">
        <f aca="false">IFERROR(__xludf.dummyfunction("""COMPUTED_VALUE"""),33.4)</f>
        <v>33.4</v>
      </c>
      <c r="N66" s="19" t="n">
        <f aca="false">IFERROR(M66/M65-1,0)</f>
        <v>0.00602409638554202</v>
      </c>
      <c r="V66" s="19" t="n">
        <f aca="false">IFERROR((D66+I66+N66)/3,0)</f>
        <v>0.00264291383604468</v>
      </c>
      <c r="W66" s="19" t="n">
        <f aca="false">IFERROR(0.3*D66+0.6*I66+0.1*N66,0)</f>
        <v>8.52690679298051E-005</v>
      </c>
    </row>
    <row r="67" customFormat="false" ht="12.75" hidden="false" customHeight="true" outlineLevel="0" collapsed="false">
      <c r="B67" s="17" t="n">
        <f aca="false">IFERROR(__xludf.dummyfunction("""COMPUTED_VALUE"""),46027.6666666666)</f>
        <v>46027.6666666666</v>
      </c>
      <c r="C67" s="18" t="n">
        <f aca="false">IFERROR(__xludf.dummyfunction("""COMPUTED_VALUE"""),47.71)</f>
        <v>47.71</v>
      </c>
      <c r="D67" s="19" t="n">
        <f aca="false">IFERROR(C67/C66-1,0)</f>
        <v>0.00973544973544982</v>
      </c>
      <c r="E67" s="20"/>
      <c r="G67" s="17" t="n">
        <f aca="false">IFERROR(__xludf.dummyfunction("""COMPUTED_VALUE"""),46027.6666666666)</f>
        <v>46027.6666666666</v>
      </c>
      <c r="H67" s="18" t="n">
        <f aca="false">IFERROR(__xludf.dummyfunction("""COMPUTED_VALUE"""),13.78)</f>
        <v>13.78</v>
      </c>
      <c r="I67" s="19" t="n">
        <f aca="false">IFERROR(H67/H66-1,0)</f>
        <v>0.00364166059723225</v>
      </c>
      <c r="J67" s="20"/>
      <c r="L67" s="17" t="n">
        <f aca="false">IFERROR(__xludf.dummyfunction("""COMPUTED_VALUE"""),46027.6666666666)</f>
        <v>46027.6666666666</v>
      </c>
      <c r="M67" s="18" t="n">
        <f aca="false">IFERROR(__xludf.dummyfunction("""COMPUTED_VALUE"""),34.23)</f>
        <v>34.23</v>
      </c>
      <c r="N67" s="19" t="n">
        <f aca="false">IFERROR(M67/M66-1,0)</f>
        <v>0.0248502994011977</v>
      </c>
      <c r="V67" s="19" t="n">
        <f aca="false">IFERROR((D67+I67+N67)/3,0)</f>
        <v>0.0127424699112932</v>
      </c>
      <c r="W67" s="19" t="n">
        <f aca="false">IFERROR(0.3*D67+0.6*I67+0.1*N67,0)</f>
        <v>0.00759066121909406</v>
      </c>
    </row>
    <row r="68" customFormat="false" ht="12.75" hidden="false" customHeight="true" outlineLevel="0" collapsed="false">
      <c r="B68" s="17" t="n">
        <f aca="false">IFERROR(__xludf.dummyfunction("""COMPUTED_VALUE"""),46028.6666666666)</f>
        <v>46028.6666666666</v>
      </c>
      <c r="C68" s="18" t="n">
        <f aca="false">IFERROR(__xludf.dummyfunction("""COMPUTED_VALUE"""),47.91)</f>
        <v>47.91</v>
      </c>
      <c r="D68" s="19" t="n">
        <f aca="false">IFERROR(C68/C67-1,0)</f>
        <v>0.00419199329281073</v>
      </c>
      <c r="E68" s="20"/>
      <c r="G68" s="17" t="n">
        <f aca="false">IFERROR(__xludf.dummyfunction("""COMPUTED_VALUE"""),46028.6666666666)</f>
        <v>46028.6666666666</v>
      </c>
      <c r="H68" s="18" t="n">
        <f aca="false">IFERROR(__xludf.dummyfunction("""COMPUTED_VALUE"""),13.78)</f>
        <v>13.78</v>
      </c>
      <c r="I68" s="19" t="n">
        <f aca="false">IFERROR(H68/H67-1,0)</f>
        <v>0</v>
      </c>
      <c r="J68" s="20"/>
      <c r="L68" s="17" t="n">
        <f aca="false">IFERROR(__xludf.dummyfunction("""COMPUTED_VALUE"""),46028.6666666666)</f>
        <v>46028.6666666666</v>
      </c>
      <c r="M68" s="18" t="n">
        <f aca="false">IFERROR(__xludf.dummyfunction("""COMPUTED_VALUE"""),34.64)</f>
        <v>34.64</v>
      </c>
      <c r="N68" s="19" t="n">
        <f aca="false">IFERROR(M68/M67-1,0)</f>
        <v>0.011977797253871</v>
      </c>
      <c r="V68" s="19" t="n">
        <f aca="false">IFERROR((D68+I68+N68)/3,0)</f>
        <v>0.00538993018222726</v>
      </c>
      <c r="W68" s="19" t="n">
        <f aca="false">IFERROR(0.3*D68+0.6*I68+0.1*N68,0)</f>
        <v>0.00245537771323032</v>
      </c>
    </row>
    <row r="69" customFormat="false" ht="12.75" hidden="false" customHeight="true" outlineLevel="0" collapsed="false">
      <c r="B69" s="17" t="n">
        <f aca="false">IFERROR(__xludf.dummyfunction("""COMPUTED_VALUE"""),46029.6666666666)</f>
        <v>46029.6666666666</v>
      </c>
      <c r="C69" s="18" t="n">
        <f aca="false">IFERROR(__xludf.dummyfunction("""COMPUTED_VALUE"""),47.49)</f>
        <v>47.49</v>
      </c>
      <c r="D69" s="19" t="n">
        <f aca="false">IFERROR(C69/C68-1,0)</f>
        <v>-0.0087664370695052</v>
      </c>
      <c r="E69" s="20"/>
      <c r="G69" s="17" t="n">
        <f aca="false">IFERROR(__xludf.dummyfunction("""COMPUTED_VALUE"""),46029.6666666666)</f>
        <v>46029.6666666666</v>
      </c>
      <c r="H69" s="18" t="n">
        <f aca="false">IFERROR(__xludf.dummyfunction("""COMPUTED_VALUE"""),13.83)</f>
        <v>13.83</v>
      </c>
      <c r="I69" s="19" t="n">
        <f aca="false">IFERROR(H69/H68-1,0)</f>
        <v>0.00362844702467346</v>
      </c>
      <c r="J69" s="20"/>
      <c r="L69" s="17" t="n">
        <f aca="false">IFERROR(__xludf.dummyfunction("""COMPUTED_VALUE"""),46029.6666666666)</f>
        <v>46029.6666666666</v>
      </c>
      <c r="M69" s="18" t="n">
        <f aca="false">IFERROR(__xludf.dummyfunction("""COMPUTED_VALUE"""),34.3)</f>
        <v>34.3</v>
      </c>
      <c r="N69" s="19" t="n">
        <f aca="false">IFERROR(M69/M68-1,0)</f>
        <v>-0.00981524249422638</v>
      </c>
      <c r="V69" s="19" t="n">
        <f aca="false">IFERROR((D69+I69+N69)/3,0)</f>
        <v>-0.00498441084635271</v>
      </c>
      <c r="W69" s="19" t="n">
        <f aca="false">IFERROR(0.3*D69+0.6*I69+0.1*N69,0)</f>
        <v>-0.00143438715547012</v>
      </c>
    </row>
    <row r="70" customFormat="false" ht="12.75" hidden="false" customHeight="true" outlineLevel="0" collapsed="false">
      <c r="B70" s="17" t="n">
        <f aca="false">IFERROR(__xludf.dummyfunction("""COMPUTED_VALUE"""),46030.6666666666)</f>
        <v>46030.6666666666</v>
      </c>
      <c r="C70" s="18" t="n">
        <f aca="false">IFERROR(__xludf.dummyfunction("""COMPUTED_VALUE"""),47.92)</f>
        <v>47.92</v>
      </c>
      <c r="D70" s="19" t="n">
        <f aca="false">IFERROR(C70/C69-1,0)</f>
        <v>0.00905453779743093</v>
      </c>
      <c r="E70" s="20"/>
      <c r="G70" s="17" t="n">
        <f aca="false">IFERROR(__xludf.dummyfunction("""COMPUTED_VALUE"""),46030.6666666666)</f>
        <v>46030.6666666666</v>
      </c>
      <c r="H70" s="18" t="n">
        <f aca="false">IFERROR(__xludf.dummyfunction("""COMPUTED_VALUE"""),13.82)</f>
        <v>13.82</v>
      </c>
      <c r="I70" s="19" t="n">
        <f aca="false">IFERROR(H70/H69-1,0)</f>
        <v>-0.000723065798987732</v>
      </c>
      <c r="J70" s="20"/>
      <c r="L70" s="17" t="n">
        <f aca="false">IFERROR(__xludf.dummyfunction("""COMPUTED_VALUE"""),46030.6666666666)</f>
        <v>46030.6666666666</v>
      </c>
      <c r="M70" s="18" t="n">
        <f aca="false">IFERROR(__xludf.dummyfunction("""COMPUTED_VALUE"""),34.48)</f>
        <v>34.48</v>
      </c>
      <c r="N70" s="19" t="n">
        <f aca="false">IFERROR(M70/M69-1,0)</f>
        <v>0.00524781341107872</v>
      </c>
      <c r="V70" s="19" t="n">
        <f aca="false">IFERROR((D70+I70+N70)/3,0)</f>
        <v>0.00452642846984064</v>
      </c>
      <c r="W70" s="19" t="n">
        <f aca="false">IFERROR(0.3*D70+0.6*I70+0.1*N70,0)</f>
        <v>0.00280730320094451</v>
      </c>
    </row>
    <row r="71" customFormat="false" ht="12.75" hidden="false" customHeight="true" outlineLevel="0" collapsed="false">
      <c r="B71" s="17" t="n">
        <f aca="false">IFERROR(__xludf.dummyfunction("""COMPUTED_VALUE"""),46031.6666666666)</f>
        <v>46031.6666666666</v>
      </c>
      <c r="C71" s="18" t="n">
        <f aca="false">IFERROR(__xludf.dummyfunction("""COMPUTED_VALUE"""),48.22)</f>
        <v>48.22</v>
      </c>
      <c r="D71" s="19" t="n">
        <f aca="false">IFERROR(C71/C70-1,0)</f>
        <v>0.00626043405676113</v>
      </c>
      <c r="E71" s="20"/>
      <c r="G71" s="17" t="n">
        <f aca="false">IFERROR(__xludf.dummyfunction("""COMPUTED_VALUE"""),46031.6666666666)</f>
        <v>46031.6666666666</v>
      </c>
      <c r="H71" s="18" t="n">
        <f aca="false">IFERROR(__xludf.dummyfunction("""COMPUTED_VALUE"""),13.84)</f>
        <v>13.84</v>
      </c>
      <c r="I71" s="19" t="n">
        <f aca="false">IFERROR(H71/H70-1,0)</f>
        <v>0.0014471780028944</v>
      </c>
      <c r="J71" s="20"/>
      <c r="L71" s="17" t="n">
        <f aca="false">IFERROR(__xludf.dummyfunction("""COMPUTED_VALUE"""),46031.6666666666)</f>
        <v>46031.6666666666</v>
      </c>
      <c r="M71" s="18" t="n">
        <f aca="false">IFERROR(__xludf.dummyfunction("""COMPUTED_VALUE"""),34.75)</f>
        <v>34.75</v>
      </c>
      <c r="N71" s="19" t="n">
        <f aca="false">IFERROR(M71/M70-1,0)</f>
        <v>0.00783062645011601</v>
      </c>
      <c r="V71" s="19" t="n">
        <f aca="false">IFERROR((D71+I71+N71)/3,0)</f>
        <v>0.00517941283659051</v>
      </c>
      <c r="W71" s="19" t="n">
        <f aca="false">IFERROR(0.3*D71+0.6*I71+0.1*N71,0)</f>
        <v>0.00352949966377658</v>
      </c>
    </row>
    <row r="72" customFormat="false" ht="12.75" hidden="false" customHeight="true" outlineLevel="0" collapsed="false">
      <c r="B72" s="17" t="n">
        <f aca="false">IFERROR(__xludf.dummyfunction("""COMPUTED_VALUE"""),46034.6666666666)</f>
        <v>46034.6666666666</v>
      </c>
      <c r="C72" s="18" t="n">
        <f aca="false">IFERROR(__xludf.dummyfunction("""COMPUTED_VALUE"""),48.48)</f>
        <v>48.48</v>
      </c>
      <c r="D72" s="19" t="n">
        <f aca="false">IFERROR(C72/C71-1,0)</f>
        <v>0.00539195354624633</v>
      </c>
      <c r="E72" s="20"/>
      <c r="G72" s="17" t="n">
        <f aca="false">IFERROR(__xludf.dummyfunction("""COMPUTED_VALUE"""),46034.6666666666)</f>
        <v>46034.6666666666</v>
      </c>
      <c r="H72" s="18" t="n">
        <f aca="false">IFERROR(__xludf.dummyfunction("""COMPUTED_VALUE"""),13.83)</f>
        <v>13.83</v>
      </c>
      <c r="I72" s="19" t="n">
        <f aca="false">IFERROR(H72/H71-1,0)</f>
        <v>-0.000722543352601135</v>
      </c>
      <c r="J72" s="20"/>
      <c r="L72" s="17" t="n">
        <f aca="false">IFERROR(__xludf.dummyfunction("""COMPUTED_VALUE"""),46034.6666666666)</f>
        <v>46034.6666666666</v>
      </c>
      <c r="M72" s="18" t="n">
        <f aca="false">IFERROR(__xludf.dummyfunction("""COMPUTED_VALUE"""),35.39)</f>
        <v>35.39</v>
      </c>
      <c r="N72" s="19" t="n">
        <f aca="false">IFERROR(M72/M71-1,0)</f>
        <v>0.0184172661870503</v>
      </c>
      <c r="V72" s="19" t="n">
        <f aca="false">IFERROR((D72+I72+N72)/3,0)</f>
        <v>0.00769555879356517</v>
      </c>
      <c r="W72" s="19" t="n">
        <f aca="false">IFERROR(0.3*D72+0.6*I72+0.1*N72,0)</f>
        <v>0.00302578667101825</v>
      </c>
    </row>
    <row r="73" customFormat="false" ht="12.75" hidden="false" customHeight="true" outlineLevel="0" collapsed="false">
      <c r="B73" s="17" t="n">
        <f aca="false">IFERROR(__xludf.dummyfunction("""COMPUTED_VALUE"""),46035.6666666666)</f>
        <v>46035.6666666666</v>
      </c>
      <c r="C73" s="18" t="n">
        <f aca="false">IFERROR(__xludf.dummyfunction("""COMPUTED_VALUE"""),48.51)</f>
        <v>48.51</v>
      </c>
      <c r="D73" s="19" t="n">
        <f aca="false">IFERROR(C73/C72-1,0)</f>
        <v>0.000618811881188064</v>
      </c>
      <c r="E73" s="20"/>
      <c r="G73" s="17" t="n">
        <f aca="false">IFERROR(__xludf.dummyfunction("""COMPUTED_VALUE"""),46035.6666666666)</f>
        <v>46035.6666666666</v>
      </c>
      <c r="H73" s="18" t="n">
        <f aca="false">IFERROR(__xludf.dummyfunction("""COMPUTED_VALUE"""),13.82)</f>
        <v>13.82</v>
      </c>
      <c r="I73" s="19" t="n">
        <f aca="false">IFERROR(H73/H72-1,0)</f>
        <v>-0.000723065798987732</v>
      </c>
      <c r="J73" s="20"/>
      <c r="L73" s="17" t="n">
        <f aca="false">IFERROR(__xludf.dummyfunction("""COMPUTED_VALUE"""),46035.6666666666)</f>
        <v>46035.6666666666</v>
      </c>
      <c r="M73" s="18" t="n">
        <f aca="false">IFERROR(__xludf.dummyfunction("""COMPUTED_VALUE"""),35.31)</f>
        <v>35.31</v>
      </c>
      <c r="N73" s="19" t="n">
        <f aca="false">IFERROR(M73/M72-1,0)</f>
        <v>-0.00226052557219547</v>
      </c>
      <c r="V73" s="19" t="n">
        <f aca="false">IFERROR((D73+I73+N73)/3,0)</f>
        <v>-0.00078825982999838</v>
      </c>
      <c r="W73" s="19" t="n">
        <f aca="false">IFERROR(0.3*D73+0.6*I73+0.1*N73,0)</f>
        <v>-0.000474248472255767</v>
      </c>
    </row>
    <row r="74" customFormat="false" ht="12.75" hidden="false" customHeight="true" outlineLevel="0" collapsed="false">
      <c r="B74" s="17" t="n">
        <f aca="false">IFERROR(__xludf.dummyfunction("""COMPUTED_VALUE"""),46036.6666666666)</f>
        <v>46036.6666666666</v>
      </c>
      <c r="C74" s="18" t="n">
        <f aca="false">IFERROR(__xludf.dummyfunction("""COMPUTED_VALUE"""),48.53)</f>
        <v>48.53</v>
      </c>
      <c r="D74" s="19" t="n">
        <f aca="false">IFERROR(C74/C73-1,0)</f>
        <v>0.000412286126571848</v>
      </c>
      <c r="E74" s="20"/>
      <c r="G74" s="17" t="n">
        <f aca="false">IFERROR(__xludf.dummyfunction("""COMPUTED_VALUE"""),46036.6666666666)</f>
        <v>46036.6666666666</v>
      </c>
      <c r="H74" s="18" t="n">
        <f aca="false">IFERROR(__xludf.dummyfunction("""COMPUTED_VALUE"""),13.86)</f>
        <v>13.86</v>
      </c>
      <c r="I74" s="19" t="n">
        <f aca="false">IFERROR(H74/H73-1,0)</f>
        <v>0.00289435600578858</v>
      </c>
      <c r="J74" s="20"/>
      <c r="L74" s="17" t="n">
        <f aca="false">IFERROR(__xludf.dummyfunction("""COMPUTED_VALUE"""),46036.6666666666)</f>
        <v>46036.6666666666</v>
      </c>
      <c r="M74" s="18" t="n">
        <f aca="false">IFERROR(__xludf.dummyfunction("""COMPUTED_VALUE"""),35.72)</f>
        <v>35.72</v>
      </c>
      <c r="N74" s="19" t="n">
        <f aca="false">IFERROR(M74/M73-1,0)</f>
        <v>0.0116114415179835</v>
      </c>
      <c r="V74" s="19" t="n">
        <f aca="false">IFERROR((D74+I74+N74)/3,0)</f>
        <v>0.00497269455011466</v>
      </c>
      <c r="W74" s="19" t="n">
        <f aca="false">IFERROR(0.3*D74+0.6*I74+0.1*N74,0)</f>
        <v>0.00302144359324306</v>
      </c>
    </row>
    <row r="75" customFormat="false" ht="12.75" hidden="false" customHeight="true" outlineLevel="0" collapsed="false">
      <c r="B75" s="17" t="n">
        <f aca="false">IFERROR(__xludf.dummyfunction("""COMPUTED_VALUE"""),46037.6666666666)</f>
        <v>46037.6666666666</v>
      </c>
      <c r="C75" s="18" t="n">
        <f aca="false">IFERROR(__xludf.dummyfunction("""COMPUTED_VALUE"""),48.69)</f>
        <v>48.69</v>
      </c>
      <c r="D75" s="19" t="n">
        <f aca="false">IFERROR(C75/C74-1,0)</f>
        <v>0.00329692973418494</v>
      </c>
      <c r="E75" s="20"/>
      <c r="G75" s="17" t="n">
        <f aca="false">IFERROR(__xludf.dummyfunction("""COMPUTED_VALUE"""),46037.6666666666)</f>
        <v>46037.6666666666</v>
      </c>
      <c r="H75" s="18" t="n">
        <f aca="false">IFERROR(__xludf.dummyfunction("""COMPUTED_VALUE"""),13.88)</f>
        <v>13.88</v>
      </c>
      <c r="I75" s="19" t="n">
        <f aca="false">IFERROR(H75/H74-1,0)</f>
        <v>0.00144300144300158</v>
      </c>
      <c r="J75" s="20"/>
      <c r="L75" s="17" t="n">
        <f aca="false">IFERROR(__xludf.dummyfunction("""COMPUTED_VALUE"""),46037.6666666666)</f>
        <v>46037.6666666666</v>
      </c>
      <c r="M75" s="18" t="n">
        <f aca="false">IFERROR(__xludf.dummyfunction("""COMPUTED_VALUE"""),35.47)</f>
        <v>35.47</v>
      </c>
      <c r="N75" s="19" t="n">
        <f aca="false">IFERROR(M75/M74-1,0)</f>
        <v>-0.00699888017917139</v>
      </c>
      <c r="V75" s="19" t="n">
        <f aca="false">IFERROR((D75+I75+N75)/3,0)</f>
        <v>-0.000752983000661622</v>
      </c>
      <c r="W75" s="19" t="n">
        <f aca="false">IFERROR(0.3*D75+0.6*I75+0.1*N75,0)</f>
        <v>0.00115499176813929</v>
      </c>
    </row>
    <row r="76" customFormat="false" ht="12.75" hidden="false" customHeight="true" outlineLevel="0" collapsed="false">
      <c r="B76" s="17" t="n">
        <f aca="false">IFERROR(__xludf.dummyfunction("""COMPUTED_VALUE"""),46038.6666666666)</f>
        <v>46038.6666666666</v>
      </c>
      <c r="C76" s="18" t="n">
        <f aca="false">IFERROR(__xludf.dummyfunction("""COMPUTED_VALUE"""),48.64)</f>
        <v>48.64</v>
      </c>
      <c r="D76" s="19" t="n">
        <f aca="false">IFERROR(C76/C75-1,0)</f>
        <v>-0.00102690490860535</v>
      </c>
      <c r="E76" s="20"/>
      <c r="G76" s="17" t="n">
        <f aca="false">IFERROR(__xludf.dummyfunction("""COMPUTED_VALUE"""),46038.6666666666)</f>
        <v>46038.6666666666</v>
      </c>
      <c r="H76" s="18" t="n">
        <f aca="false">IFERROR(__xludf.dummyfunction("""COMPUTED_VALUE"""),13.86)</f>
        <v>13.86</v>
      </c>
      <c r="I76" s="19" t="n">
        <f aca="false">IFERROR(H76/H75-1,0)</f>
        <v>-0.00144092219020187</v>
      </c>
      <c r="J76" s="20"/>
      <c r="L76" s="17" t="n">
        <f aca="false">IFERROR(__xludf.dummyfunction("""COMPUTED_VALUE"""),46038.6666666666)</f>
        <v>46038.6666666666</v>
      </c>
      <c r="M76" s="18" t="n">
        <f aca="false">IFERROR(__xludf.dummyfunction("""COMPUTED_VALUE"""),35.22)</f>
        <v>35.22</v>
      </c>
      <c r="N76" s="19" t="n">
        <f aca="false">IFERROR(M76/M75-1,0)</f>
        <v>-0.00704820975472231</v>
      </c>
      <c r="V76" s="19" t="n">
        <f aca="false">IFERROR((D76+I76+N76)/3,0)</f>
        <v>-0.00317201228450984</v>
      </c>
      <c r="W76" s="19" t="n">
        <f aca="false">IFERROR(0.3*D76+0.6*I76+0.1*N76,0)</f>
        <v>-0.00187744576217496</v>
      </c>
    </row>
    <row r="77" customFormat="false" ht="12.75" hidden="false" customHeight="true" outlineLevel="0" collapsed="false">
      <c r="B77" s="17" t="n">
        <f aca="false">IFERROR(__xludf.dummyfunction("""COMPUTED_VALUE"""),46041.6666666666)</f>
        <v>46041.6666666666</v>
      </c>
      <c r="C77" s="18" t="n">
        <f aca="false">IFERROR(__xludf.dummyfunction("""COMPUTED_VALUE"""),48.65)</f>
        <v>48.65</v>
      </c>
      <c r="D77" s="19" t="n">
        <f aca="false">IFERROR(C77/C76-1,0)</f>
        <v>0.000205592105263053</v>
      </c>
      <c r="E77" s="20"/>
      <c r="G77" s="17" t="n">
        <f aca="false">IFERROR(__xludf.dummyfunction("""COMPUTED_VALUE"""),46041.6666666666)</f>
        <v>46041.6666666666</v>
      </c>
      <c r="H77" s="18" t="n">
        <f aca="false">IFERROR(__xludf.dummyfunction("""COMPUTED_VALUE"""),13.85)</f>
        <v>13.85</v>
      </c>
      <c r="I77" s="19" t="n">
        <f aca="false">IFERROR(H77/H76-1,0)</f>
        <v>-0.000721500721500679</v>
      </c>
      <c r="J77" s="20"/>
      <c r="L77" s="17" t="n">
        <f aca="false">IFERROR(__xludf.dummyfunction("""COMPUTED_VALUE"""),46041.6666666666)</f>
        <v>46041.6666666666</v>
      </c>
      <c r="M77" s="18" t="n">
        <f aca="false">IFERROR(__xludf.dummyfunction("""COMPUTED_VALUE"""),36.05)</f>
        <v>36.05</v>
      </c>
      <c r="N77" s="19" t="n">
        <f aca="false">IFERROR(M77/M76-1,0)</f>
        <v>0.0235661555934128</v>
      </c>
      <c r="V77" s="19" t="n">
        <f aca="false">IFERROR((D77+I77+N77)/3,0)</f>
        <v>0.00768341565905839</v>
      </c>
      <c r="W77" s="19" t="n">
        <f aca="false">IFERROR(0.3*D77+0.6*I77+0.1*N77,0)</f>
        <v>0.00198539275801979</v>
      </c>
    </row>
    <row r="78" customFormat="false" ht="12.75" hidden="false" customHeight="true" outlineLevel="0" collapsed="false">
      <c r="B78" s="17" t="n">
        <f aca="false">IFERROR(__xludf.dummyfunction("""COMPUTED_VALUE"""),46042.6666666666)</f>
        <v>46042.6666666666</v>
      </c>
      <c r="C78" s="18" t="n">
        <f aca="false">IFERROR(__xludf.dummyfunction("""COMPUTED_VALUE"""),47.96)</f>
        <v>47.96</v>
      </c>
      <c r="D78" s="19" t="n">
        <f aca="false">IFERROR(C78/C77-1,0)</f>
        <v>-0.0141829393627955</v>
      </c>
      <c r="E78" s="20"/>
      <c r="G78" s="17" t="n">
        <f aca="false">IFERROR(__xludf.dummyfunction("""COMPUTED_VALUE"""),46042.6666666666)</f>
        <v>46042.6666666666</v>
      </c>
      <c r="H78" s="18" t="n">
        <f aca="false">IFERROR(__xludf.dummyfunction("""COMPUTED_VALUE"""),13.81)</f>
        <v>13.81</v>
      </c>
      <c r="I78" s="19" t="n">
        <f aca="false">IFERROR(H78/H77-1,0)</f>
        <v>-0.00288808664259921</v>
      </c>
      <c r="J78" s="20"/>
      <c r="L78" s="17" t="n">
        <f aca="false">IFERROR(__xludf.dummyfunction("""COMPUTED_VALUE"""),46042.6666666666)</f>
        <v>46042.6666666666</v>
      </c>
      <c r="M78" s="18" t="n">
        <f aca="false">IFERROR(__xludf.dummyfunction("""COMPUTED_VALUE"""),36.7)</f>
        <v>36.7</v>
      </c>
      <c r="N78" s="19" t="n">
        <f aca="false">IFERROR(M78/M77-1,0)</f>
        <v>0.0180305131761445</v>
      </c>
      <c r="V78" s="19" t="n">
        <f aca="false">IFERROR((D78+I78+N78)/3,0)</f>
        <v>0.000319829056916595</v>
      </c>
      <c r="W78" s="19" t="n">
        <f aca="false">IFERROR(0.3*D78+0.6*I78+0.1*N78,0)</f>
        <v>-0.00418468247678372</v>
      </c>
    </row>
    <row r="79" customFormat="false" ht="12.75" hidden="false" customHeight="true" outlineLevel="0" collapsed="false">
      <c r="B79" s="17" t="n">
        <f aca="false">IFERROR(__xludf.dummyfunction("""COMPUTED_VALUE"""),46043.6666666666)</f>
        <v>46043.6666666666</v>
      </c>
      <c r="C79" s="18" t="n">
        <f aca="false">IFERROR(__xludf.dummyfunction("""COMPUTED_VALUE"""),48.13)</f>
        <v>48.13</v>
      </c>
      <c r="D79" s="19" t="n">
        <f aca="false">IFERROR(C79/C78-1,0)</f>
        <v>0.0035446205170977</v>
      </c>
      <c r="E79" s="20"/>
      <c r="G79" s="17" t="n">
        <f aca="false">IFERROR(__xludf.dummyfunction("""COMPUTED_VALUE"""),46043.6666666666)</f>
        <v>46043.6666666666</v>
      </c>
      <c r="H79" s="18" t="n">
        <f aca="false">IFERROR(__xludf.dummyfunction("""COMPUTED_VALUE"""),13.82)</f>
        <v>13.82</v>
      </c>
      <c r="I79" s="19" t="n">
        <f aca="false">IFERROR(H79/H78-1,0)</f>
        <v>0.000724112961622003</v>
      </c>
      <c r="J79" s="20"/>
      <c r="L79" s="17" t="n">
        <f aca="false">IFERROR(__xludf.dummyfunction("""COMPUTED_VALUE"""),46043.6666666666)</f>
        <v>46043.6666666666</v>
      </c>
      <c r="M79" s="18" t="n">
        <f aca="false">IFERROR(__xludf.dummyfunction("""COMPUTED_VALUE"""),37.16)</f>
        <v>37.16</v>
      </c>
      <c r="N79" s="19" t="n">
        <f aca="false">IFERROR(M79/M78-1,0)</f>
        <v>0.0125340599455039</v>
      </c>
      <c r="V79" s="19" t="n">
        <f aca="false">IFERROR((D79+I79+N79)/3,0)</f>
        <v>0.00560093114140788</v>
      </c>
      <c r="W79" s="19" t="n">
        <f aca="false">IFERROR(0.3*D79+0.6*I79+0.1*N79,0)</f>
        <v>0.00275125992665291</v>
      </c>
    </row>
    <row r="80" customFormat="false" ht="12.75" hidden="false" customHeight="true" outlineLevel="0" collapsed="false">
      <c r="B80" s="17" t="n">
        <f aca="false">IFERROR(__xludf.dummyfunction("""COMPUTED_VALUE"""),46044.6666666666)</f>
        <v>46044.6666666666</v>
      </c>
      <c r="C80" s="18" t="n">
        <f aca="false">IFERROR(__xludf.dummyfunction("""COMPUTED_VALUE"""),48.25)</f>
        <v>48.25</v>
      </c>
      <c r="D80" s="19" t="n">
        <f aca="false">IFERROR(C80/C79-1,0)</f>
        <v>0.00249324745480983</v>
      </c>
      <c r="E80" s="20"/>
      <c r="G80" s="17" t="n">
        <f aca="false">IFERROR(__xludf.dummyfunction("""COMPUTED_VALUE"""),46044.6666666666)</f>
        <v>46044.6666666666</v>
      </c>
      <c r="H80" s="18" t="n">
        <f aca="false">IFERROR(__xludf.dummyfunction("""COMPUTED_VALUE"""),13.85)</f>
        <v>13.85</v>
      </c>
      <c r="I80" s="19" t="n">
        <f aca="false">IFERROR(H80/H79-1,0)</f>
        <v>0.00217076700434138</v>
      </c>
      <c r="J80" s="20"/>
      <c r="L80" s="17" t="n">
        <f aca="false">IFERROR(__xludf.dummyfunction("""COMPUTED_VALUE"""),46044.6666666666)</f>
        <v>46044.6666666666</v>
      </c>
      <c r="M80" s="18" t="n">
        <f aca="false">IFERROR(__xludf.dummyfunction("""COMPUTED_VALUE"""),37.81)</f>
        <v>37.81</v>
      </c>
      <c r="N80" s="19" t="n">
        <f aca="false">IFERROR(M80/M79-1,0)</f>
        <v>0.0174919268030143</v>
      </c>
      <c r="V80" s="19" t="n">
        <f aca="false">IFERROR((D80+I80+N80)/3,0)</f>
        <v>0.00738531375405516</v>
      </c>
      <c r="W80" s="19" t="n">
        <f aca="false">IFERROR(0.3*D80+0.6*I80+0.1*N80,0)</f>
        <v>0.0037996271193492</v>
      </c>
    </row>
    <row r="81" customFormat="false" ht="12.75" hidden="false" customHeight="true" outlineLevel="0" collapsed="false">
      <c r="B81" s="17" t="n">
        <f aca="false">IFERROR(__xludf.dummyfunction("""COMPUTED_VALUE"""),46045.6666666666)</f>
        <v>46045.6666666666</v>
      </c>
      <c r="C81" s="18" t="n">
        <f aca="false">IFERROR(__xludf.dummyfunction("""COMPUTED_VALUE"""),48.38)</f>
        <v>48.38</v>
      </c>
      <c r="D81" s="19" t="n">
        <f aca="false">IFERROR(C81/C80-1,0)</f>
        <v>0.0026943005181348</v>
      </c>
      <c r="E81" s="20"/>
      <c r="G81" s="17" t="n">
        <f aca="false">IFERROR(__xludf.dummyfunction("""COMPUTED_VALUE"""),46045.6666666666)</f>
        <v>46045.6666666666</v>
      </c>
      <c r="H81" s="18" t="n">
        <f aca="false">IFERROR(__xludf.dummyfunction("""COMPUTED_VALUE"""),13.85)</f>
        <v>13.85</v>
      </c>
      <c r="I81" s="19" t="n">
        <f aca="false">IFERROR(H81/H80-1,0)</f>
        <v>0</v>
      </c>
      <c r="J81" s="20"/>
      <c r="L81" s="17" t="n">
        <f aca="false">IFERROR(__xludf.dummyfunction("""COMPUTED_VALUE"""),46045.6666666666)</f>
        <v>46045.6666666666</v>
      </c>
      <c r="M81" s="18" t="n">
        <f aca="false">IFERROR(__xludf.dummyfunction("""COMPUTED_VALUE"""),38.36)</f>
        <v>38.36</v>
      </c>
      <c r="N81" s="19" t="n">
        <f aca="false">IFERROR(M81/M80-1,0)</f>
        <v>0.0145464162919862</v>
      </c>
      <c r="V81" s="19" t="n">
        <f aca="false">IFERROR((D81+I81+N81)/3,0)</f>
        <v>0.00574690560337365</v>
      </c>
      <c r="W81" s="19" t="n">
        <f aca="false">IFERROR(0.3*D81+0.6*I81+0.1*N81,0)</f>
        <v>0.00226293178463906</v>
      </c>
    </row>
    <row r="82" customFormat="false" ht="12.75" hidden="false" customHeight="true" outlineLevel="0" collapsed="false">
      <c r="B82" s="17" t="n">
        <f aca="false">IFERROR(__xludf.dummyfunction("""COMPUTED_VALUE"""),46048.6666666666)</f>
        <v>46048.6666666666</v>
      </c>
      <c r="C82" s="18" t="n">
        <f aca="false">IFERROR(__xludf.dummyfunction("""COMPUTED_VALUE"""),48.35)</f>
        <v>48.35</v>
      </c>
      <c r="D82" s="19" t="n">
        <f aca="false">IFERROR(C82/C81-1,0)</f>
        <v>-0.000620090946672147</v>
      </c>
      <c r="E82" s="20"/>
      <c r="G82" s="17" t="n">
        <f aca="false">IFERROR(__xludf.dummyfunction("""COMPUTED_VALUE"""),46048.6666666666)</f>
        <v>46048.6666666666</v>
      </c>
      <c r="H82" s="18" t="n">
        <f aca="false">IFERROR(__xludf.dummyfunction("""COMPUTED_VALUE"""),13.89)</f>
        <v>13.89</v>
      </c>
      <c r="I82" s="19" t="n">
        <f aca="false">IFERROR(H82/H81-1,0)</f>
        <v>0.00288808664259932</v>
      </c>
      <c r="J82" s="20"/>
      <c r="L82" s="17" t="n">
        <f aca="false">IFERROR(__xludf.dummyfunction("""COMPUTED_VALUE"""),46048.6666666666)</f>
        <v>46048.6666666666</v>
      </c>
      <c r="M82" s="18" t="n">
        <f aca="false">IFERROR(__xludf.dummyfunction("""COMPUTED_VALUE"""),38.94)</f>
        <v>38.94</v>
      </c>
      <c r="N82" s="19" t="n">
        <f aca="false">IFERROR(M82/M81-1,0)</f>
        <v>0.0151199165797706</v>
      </c>
      <c r="V82" s="19" t="n">
        <f aca="false">IFERROR((D82+I82+N82)/3,0)</f>
        <v>0.00579597075856593</v>
      </c>
      <c r="W82" s="19" t="n">
        <f aca="false">IFERROR(0.3*D82+0.6*I82+0.1*N82,0)</f>
        <v>0.00305881635953501</v>
      </c>
    </row>
    <row r="83" customFormat="false" ht="12.75" hidden="false" customHeight="true" outlineLevel="0" collapsed="false">
      <c r="B83" s="17" t="n">
        <f aca="false">IFERROR(__xludf.dummyfunction("""COMPUTED_VALUE"""),46049.6666666666)</f>
        <v>46049.6666666666</v>
      </c>
      <c r="C83" s="18" t="n">
        <f aca="false">IFERROR(__xludf.dummyfunction("""COMPUTED_VALUE"""),48.26)</f>
        <v>48.26</v>
      </c>
      <c r="D83" s="19" t="n">
        <f aca="false">IFERROR(C83/C82-1,0)</f>
        <v>-0.00186142709410553</v>
      </c>
      <c r="E83" s="20"/>
      <c r="G83" s="17" t="n">
        <f aca="false">IFERROR(__xludf.dummyfunction("""COMPUTED_VALUE"""),46049.6666666666)</f>
        <v>46049.6666666666</v>
      </c>
      <c r="H83" s="18" t="n">
        <f aca="false">IFERROR(__xludf.dummyfunction("""COMPUTED_VALUE"""),13.85)</f>
        <v>13.85</v>
      </c>
      <c r="I83" s="19" t="n">
        <f aca="false">IFERROR(H83/H82-1,0)</f>
        <v>-0.00287976961843062</v>
      </c>
      <c r="J83" s="20"/>
      <c r="L83" s="17" t="n">
        <f aca="false">IFERROR(__xludf.dummyfunction("""COMPUTED_VALUE"""),46049.6666666666)</f>
        <v>46049.6666666666</v>
      </c>
      <c r="M83" s="18" t="n">
        <f aca="false">IFERROR(__xludf.dummyfunction("""COMPUTED_VALUE"""),39.83)</f>
        <v>39.83</v>
      </c>
      <c r="N83" s="19" t="n">
        <f aca="false">IFERROR(M83/M82-1,0)</f>
        <v>0.0228556753980482</v>
      </c>
      <c r="V83" s="19" t="n">
        <f aca="false">IFERROR((D83+I83+N83)/3,0)</f>
        <v>0.00603815956183736</v>
      </c>
      <c r="W83" s="19" t="n">
        <f aca="false">IFERROR(0.3*D83+0.6*I83+0.1*N83,0)</f>
        <v>-7.22359485205801E-007</v>
      </c>
    </row>
    <row r="84" customFormat="false" ht="12.75" hidden="false" customHeight="true" outlineLevel="0" collapsed="false">
      <c r="B84" s="17" t="n">
        <f aca="false">IFERROR(__xludf.dummyfunction("""COMPUTED_VALUE"""),46050.6666666666)</f>
        <v>46050.6666666666</v>
      </c>
      <c r="C84" s="18" t="n">
        <f aca="false">IFERROR(__xludf.dummyfunction("""COMPUTED_VALUE"""),48.3)</f>
        <v>48.3</v>
      </c>
      <c r="D84" s="19" t="n">
        <f aca="false">IFERROR(C84/C83-1,0)</f>
        <v>0.000828843762950671</v>
      </c>
      <c r="E84" s="20"/>
      <c r="G84" s="17" t="n">
        <f aca="false">IFERROR(__xludf.dummyfunction("""COMPUTED_VALUE"""),46050.6666666666)</f>
        <v>46050.6666666666</v>
      </c>
      <c r="H84" s="18" t="n">
        <f aca="false">IFERROR(__xludf.dummyfunction("""COMPUTED_VALUE"""),13.86)</f>
        <v>13.86</v>
      </c>
      <c r="I84" s="19" t="n">
        <f aca="false">IFERROR(H84/H83-1,0)</f>
        <v>0.00072202166064983</v>
      </c>
      <c r="J84" s="20"/>
      <c r="L84" s="17" t="n">
        <f aca="false">IFERROR(__xludf.dummyfunction("""COMPUTED_VALUE"""),46050.6666666666)</f>
        <v>46050.6666666666</v>
      </c>
      <c r="M84" s="18" t="n">
        <f aca="false">IFERROR(__xludf.dummyfunction("""COMPUTED_VALUE"""),41.41)</f>
        <v>41.41</v>
      </c>
      <c r="N84" s="19" t="n">
        <f aca="false">IFERROR(M84/M83-1,0)</f>
        <v>0.0396685915139341</v>
      </c>
      <c r="V84" s="19" t="n">
        <f aca="false">IFERROR((D84+I84+N84)/3,0)</f>
        <v>0.0137398189791782</v>
      </c>
      <c r="W84" s="19" t="n">
        <f aca="false">IFERROR(0.3*D84+0.6*I84+0.1*N84,0)</f>
        <v>0.00464872527666851</v>
      </c>
    </row>
    <row r="85" customFormat="false" ht="12.75" hidden="false" customHeight="true" outlineLevel="0" collapsed="false">
      <c r="B85" s="17" t="n">
        <f aca="false">IFERROR(__xludf.dummyfunction("""COMPUTED_VALUE"""),46051.6666666666)</f>
        <v>46051.6666666666</v>
      </c>
      <c r="C85" s="18" t="n">
        <f aca="false">IFERROR(__xludf.dummyfunction("""COMPUTED_VALUE"""),48.26)</f>
        <v>48.26</v>
      </c>
      <c r="D85" s="19" t="n">
        <f aca="false">IFERROR(C85/C84-1,0)</f>
        <v>-0.000828157349896497</v>
      </c>
      <c r="E85" s="20"/>
      <c r="G85" s="17" t="n">
        <f aca="false">IFERROR(__xludf.dummyfunction("""COMPUTED_VALUE"""),46051.6666666666)</f>
        <v>46051.6666666666</v>
      </c>
      <c r="H85" s="18" t="n">
        <f aca="false">IFERROR(__xludf.dummyfunction("""COMPUTED_VALUE"""),13.82)</f>
        <v>13.82</v>
      </c>
      <c r="I85" s="19" t="n">
        <f aca="false">IFERROR(H85/H84-1,0)</f>
        <v>-0.00288600288600283</v>
      </c>
      <c r="J85" s="20"/>
      <c r="L85" s="17" t="n">
        <f aca="false">IFERROR(__xludf.dummyfunction("""COMPUTED_VALUE"""),46051.6666666666)</f>
        <v>46051.6666666666</v>
      </c>
      <c r="M85" s="18" t="n">
        <f aca="false">IFERROR(__xludf.dummyfunction("""COMPUTED_VALUE"""),41.47)</f>
        <v>41.47</v>
      </c>
      <c r="N85" s="19" t="n">
        <f aca="false">IFERROR(M85/M84-1,0)</f>
        <v>0.00144892538034291</v>
      </c>
      <c r="V85" s="19" t="n">
        <f aca="false">IFERROR((D85+I85+N85)/3,0)</f>
        <v>-0.00075507828518547</v>
      </c>
      <c r="W85" s="19" t="n">
        <f aca="false">IFERROR(0.3*D85+0.6*I85+0.1*N85,0)</f>
        <v>-0.00183515639853635</v>
      </c>
    </row>
    <row r="86" customFormat="false" ht="12.75" hidden="false" customHeight="true" outlineLevel="0" collapsed="false">
      <c r="B86" s="17" t="n">
        <f aca="false">IFERROR(__xludf.dummyfunction("""COMPUTED_VALUE"""),46052.6666666666)</f>
        <v>46052.6666666666</v>
      </c>
      <c r="C86" s="18" t="n">
        <f aca="false">IFERROR(__xludf.dummyfunction("""COMPUTED_VALUE"""),46.9)</f>
        <v>46.9</v>
      </c>
      <c r="D86" s="19" t="n">
        <f aca="false">IFERROR(C86/C85-1,0)</f>
        <v>-0.0281806879403232</v>
      </c>
      <c r="E86" s="20"/>
      <c r="G86" s="17" t="n">
        <f aca="false">IFERROR(__xludf.dummyfunction("""COMPUTED_VALUE"""),46052.6666666666)</f>
        <v>46052.6666666666</v>
      </c>
      <c r="H86" s="18" t="n">
        <f aca="false">IFERROR(__xludf.dummyfunction("""COMPUTED_VALUE"""),13.83)</f>
        <v>13.83</v>
      </c>
      <c r="I86" s="19" t="n">
        <f aca="false">IFERROR(H86/H85-1,0)</f>
        <v>0.0007235890014472</v>
      </c>
      <c r="J86" s="20"/>
      <c r="L86" s="17" t="n">
        <f aca="false">IFERROR(__xludf.dummyfunction("""COMPUTED_VALUE"""),46052.6666666666)</f>
        <v>46052.6666666666</v>
      </c>
      <c r="M86" s="18" t="n">
        <f aca="false">IFERROR(__xludf.dummyfunction("""COMPUTED_VALUE"""),37.29)</f>
        <v>37.29</v>
      </c>
      <c r="N86" s="19" t="n">
        <f aca="false">IFERROR(M86/M85-1,0)</f>
        <v>-0.10079575596817</v>
      </c>
      <c r="V86" s="19" t="n">
        <f aca="false">IFERROR((D86+I86+N86)/3,0)</f>
        <v>-0.042750951635682</v>
      </c>
      <c r="W86" s="19" t="n">
        <f aca="false">IFERROR(0.3*D86+0.6*I86+0.1*N86,0)</f>
        <v>-0.0180996285780456</v>
      </c>
    </row>
    <row r="87" customFormat="false" ht="12.75" hidden="false" customHeight="true" outlineLevel="0" collapsed="false">
      <c r="B87" s="17" t="n">
        <f aca="false">IFERROR(__xludf.dummyfunction("""COMPUTED_VALUE"""),46055.6666666666)</f>
        <v>46055.6666666666</v>
      </c>
      <c r="C87" s="18" t="n">
        <f aca="false">IFERROR(__xludf.dummyfunction("""COMPUTED_VALUE"""),47.33)</f>
        <v>47.33</v>
      </c>
      <c r="D87" s="19" t="n">
        <f aca="false">IFERROR(C87/C86-1,0)</f>
        <v>0.00916844349680179</v>
      </c>
      <c r="E87" s="20"/>
      <c r="G87" s="17" t="n">
        <f aca="false">IFERROR(__xludf.dummyfunction("""COMPUTED_VALUE"""),46055.6666666666)</f>
        <v>46055.6666666666</v>
      </c>
      <c r="H87" s="18" t="n">
        <f aca="false">IFERROR(__xludf.dummyfunction("""COMPUTED_VALUE"""),13.82)</f>
        <v>13.82</v>
      </c>
      <c r="I87" s="19" t="n">
        <f aca="false">IFERROR(H87/H86-1,0)</f>
        <v>-0.000723065798987732</v>
      </c>
      <c r="J87" s="20"/>
      <c r="L87" s="17" t="n">
        <f aca="false">IFERROR(__xludf.dummyfunction("""COMPUTED_VALUE"""),46055.6666666666)</f>
        <v>46055.6666666666</v>
      </c>
      <c r="M87" s="18" t="n">
        <f aca="false">IFERROR(__xludf.dummyfunction("""COMPUTED_VALUE"""),35.86)</f>
        <v>35.86</v>
      </c>
      <c r="N87" s="19" t="n">
        <f aca="false">IFERROR(M87/M86-1,0)</f>
        <v>-0.0383480825958702</v>
      </c>
      <c r="V87" s="19" t="n">
        <f aca="false">IFERROR((D87+I87+N87)/3,0)</f>
        <v>-0.00996756829935204</v>
      </c>
      <c r="W87" s="19" t="n">
        <f aca="false">IFERROR(0.3*D87+0.6*I87+0.1*N87,0)</f>
        <v>-0.00151811468993912</v>
      </c>
    </row>
    <row r="88" customFormat="false" ht="12.75" hidden="false" customHeight="true" outlineLevel="0" collapsed="false">
      <c r="B88" s="17" t="n">
        <f aca="false">IFERROR(__xludf.dummyfunction("""COMPUTED_VALUE"""),46056.6666666666)</f>
        <v>46056.6666666666</v>
      </c>
      <c r="C88" s="18" t="n">
        <f aca="false">IFERROR(__xludf.dummyfunction("""COMPUTED_VALUE"""),47.41)</f>
        <v>47.41</v>
      </c>
      <c r="D88" s="19" t="n">
        <f aca="false">IFERROR(C88/C87-1,0)</f>
        <v>0.00169025987745619</v>
      </c>
      <c r="E88" s="20"/>
      <c r="G88" s="17" t="n">
        <f aca="false">IFERROR(__xludf.dummyfunction("""COMPUTED_VALUE"""),46056.6666666666)</f>
        <v>46056.6666666666</v>
      </c>
      <c r="H88" s="18" t="n">
        <f aca="false">IFERROR(__xludf.dummyfunction("""COMPUTED_VALUE"""),13.82)</f>
        <v>13.82</v>
      </c>
      <c r="I88" s="19" t="n">
        <f aca="false">IFERROR(H88/H87-1,0)</f>
        <v>0</v>
      </c>
      <c r="J88" s="20"/>
      <c r="L88" s="17" t="n">
        <f aca="false">IFERROR(__xludf.dummyfunction("""COMPUTED_VALUE"""),46056.6666666666)</f>
        <v>46056.6666666666</v>
      </c>
      <c r="M88" s="18" t="n">
        <f aca="false">IFERROR(__xludf.dummyfunction("""COMPUTED_VALUE"""),38.1)</f>
        <v>38.1</v>
      </c>
      <c r="N88" s="19" t="n">
        <f aca="false">IFERROR(M88/M87-1,0)</f>
        <v>0.0624651422197435</v>
      </c>
      <c r="V88" s="19" t="n">
        <f aca="false">IFERROR((D88+I88+N88)/3,0)</f>
        <v>0.0213851340323999</v>
      </c>
      <c r="W88" s="19" t="n">
        <f aca="false">IFERROR(0.3*D88+0.6*I88+0.1*N88,0)</f>
        <v>0.00675359218521121</v>
      </c>
    </row>
    <row r="89" customFormat="false" ht="12.75" hidden="false" customHeight="true" outlineLevel="0" collapsed="false">
      <c r="B89" s="17" t="n">
        <f aca="false">IFERROR(__xludf.dummyfunction("""COMPUTED_VALUE"""),46057.6666666666)</f>
        <v>46057.6666666666</v>
      </c>
      <c r="C89" s="18" t="n">
        <f aca="false">IFERROR(__xludf.dummyfunction("""COMPUTED_VALUE"""),47.67)</f>
        <v>47.67</v>
      </c>
      <c r="D89" s="19" t="n">
        <f aca="false">IFERROR(C89/C88-1,0)</f>
        <v>0.00548407508964366</v>
      </c>
      <c r="E89" s="20"/>
      <c r="G89" s="17" t="n">
        <f aca="false">IFERROR(__xludf.dummyfunction("""COMPUTED_VALUE"""),46057.6666666666)</f>
        <v>46057.6666666666</v>
      </c>
      <c r="H89" s="18" t="n">
        <f aca="false">IFERROR(__xludf.dummyfunction("""COMPUTED_VALUE"""),13.82)</f>
        <v>13.82</v>
      </c>
      <c r="I89" s="19" t="n">
        <f aca="false">IFERROR(H89/H88-1,0)</f>
        <v>0</v>
      </c>
      <c r="J89" s="20"/>
      <c r="L89" s="17" t="n">
        <f aca="false">IFERROR(__xludf.dummyfunction("""COMPUTED_VALUE"""),46057.6666666666)</f>
        <v>46057.6666666666</v>
      </c>
      <c r="M89" s="18" t="n">
        <f aca="false">IFERROR(__xludf.dummyfunction("""COMPUTED_VALUE"""),37.97)</f>
        <v>37.97</v>
      </c>
      <c r="N89" s="19" t="n">
        <f aca="false">IFERROR(M89/M88-1,0)</f>
        <v>-0.00341207349081374</v>
      </c>
      <c r="V89" s="19" t="n">
        <f aca="false">IFERROR((D89+I89+N89)/3,0)</f>
        <v>0.000690667199609973</v>
      </c>
      <c r="W89" s="19" t="n">
        <f aca="false">IFERROR(0.3*D89+0.6*I89+0.1*N89,0)</f>
        <v>0.00130401517781172</v>
      </c>
    </row>
    <row r="90" customFormat="false" ht="12.75" hidden="false" customHeight="true" outlineLevel="0" collapsed="false">
      <c r="B90" s="17" t="n">
        <f aca="false">IFERROR(__xludf.dummyfunction("""COMPUTED_VALUE"""),46058.6666666666)</f>
        <v>46058.6666666666</v>
      </c>
      <c r="C90" s="18" t="n">
        <f aca="false">IFERROR(__xludf.dummyfunction("""COMPUTED_VALUE"""),47.09)</f>
        <v>47.09</v>
      </c>
      <c r="D90" s="19" t="n">
        <f aca="false">IFERROR(C90/C89-1,0)</f>
        <v>-0.0121669813299768</v>
      </c>
      <c r="E90" s="20"/>
      <c r="G90" s="17" t="n">
        <f aca="false">IFERROR(__xludf.dummyfunction("""COMPUTED_VALUE"""),46058.6666666666)</f>
        <v>46058.6666666666</v>
      </c>
      <c r="H90" s="18" t="n">
        <f aca="false">IFERROR(__xludf.dummyfunction("""COMPUTED_VALUE"""),13.85)</f>
        <v>13.85</v>
      </c>
      <c r="I90" s="19" t="n">
        <f aca="false">IFERROR(H90/H89-1,0)</f>
        <v>0.00217076700434138</v>
      </c>
      <c r="J90" s="20"/>
      <c r="L90" s="17" t="n">
        <f aca="false">IFERROR(__xludf.dummyfunction("""COMPUTED_VALUE"""),46058.6666666666)</f>
        <v>46058.6666666666</v>
      </c>
      <c r="M90" s="18" t="n">
        <f aca="false">IFERROR(__xludf.dummyfunction("""COMPUTED_VALUE"""),36.92)</f>
        <v>36.92</v>
      </c>
      <c r="N90" s="19" t="n">
        <f aca="false">IFERROR(M90/M89-1,0)</f>
        <v>-0.0276534105873058</v>
      </c>
      <c r="V90" s="19" t="n">
        <f aca="false">IFERROR((D90+I90+N90)/3,0)</f>
        <v>-0.0125498749709804</v>
      </c>
      <c r="W90" s="19" t="n">
        <f aca="false">IFERROR(0.3*D90+0.6*I90+0.1*N90,0)</f>
        <v>-0.0051129752551188</v>
      </c>
    </row>
    <row r="91" customFormat="false" ht="12.75" hidden="false" customHeight="true" outlineLevel="0" collapsed="false">
      <c r="B91" s="17" t="n">
        <f aca="false">IFERROR(__xludf.dummyfunction("""COMPUTED_VALUE"""),46059.6666666666)</f>
        <v>46059.6666666666</v>
      </c>
      <c r="C91" s="18" t="n">
        <f aca="false">IFERROR(__xludf.dummyfunction("""COMPUTED_VALUE"""),47.65)</f>
        <v>47.65</v>
      </c>
      <c r="D91" s="19" t="n">
        <f aca="false">IFERROR(C91/C90-1,0)</f>
        <v>0.0118921214695262</v>
      </c>
      <c r="E91" s="20"/>
      <c r="G91" s="17" t="n">
        <f aca="false">IFERROR(__xludf.dummyfunction("""COMPUTED_VALUE"""),46059.6666666666)</f>
        <v>46059.6666666666</v>
      </c>
      <c r="H91" s="18" t="n">
        <f aca="false">IFERROR(__xludf.dummyfunction("""COMPUTED_VALUE"""),13.84)</f>
        <v>13.84</v>
      </c>
      <c r="I91" s="19" t="n">
        <f aca="false">IFERROR(H91/H90-1,0)</f>
        <v>-0.00072202166064983</v>
      </c>
      <c r="J91" s="20"/>
      <c r="L91" s="17" t="n">
        <f aca="false">IFERROR(__xludf.dummyfunction("""COMPUTED_VALUE"""),46059.6666666666)</f>
        <v>46059.6666666666</v>
      </c>
      <c r="M91" s="18" t="n">
        <f aca="false">IFERROR(__xludf.dummyfunction("""COMPUTED_VALUE"""),38.11)</f>
        <v>38.11</v>
      </c>
      <c r="N91" s="19" t="n">
        <f aca="false">IFERROR(M91/M90-1,0)</f>
        <v>0.0322318526543879</v>
      </c>
      <c r="V91" s="19" t="n">
        <f aca="false">IFERROR((D91+I91+N91)/3,0)</f>
        <v>0.0144673174877548</v>
      </c>
      <c r="W91" s="19" t="n">
        <f aca="false">IFERROR(0.3*D91+0.6*I91+0.1*N91,0)</f>
        <v>0.00635760870990676</v>
      </c>
    </row>
    <row r="92" customFormat="false" ht="12.75" hidden="false" customHeight="true" outlineLevel="0" collapsed="false">
      <c r="B92" s="17" t="n">
        <f aca="false">IFERROR(__xludf.dummyfunction("""COMPUTED_VALUE"""),46062.6666666666)</f>
        <v>46062.6666666666</v>
      </c>
      <c r="C92" s="18" t="n">
        <f aca="false">IFERROR(__xludf.dummyfunction("""COMPUTED_VALUE"""),48.4)</f>
        <v>48.4</v>
      </c>
      <c r="D92" s="19" t="n">
        <f aca="false">IFERROR(C92/C91-1,0)</f>
        <v>0.0157397691500525</v>
      </c>
      <c r="E92" s="20"/>
      <c r="G92" s="17" t="n">
        <f aca="false">IFERROR(__xludf.dummyfunction("""COMPUTED_VALUE"""),46062.6666666666)</f>
        <v>46062.6666666666</v>
      </c>
      <c r="H92" s="18" t="n">
        <f aca="false">IFERROR(__xludf.dummyfunction("""COMPUTED_VALUE"""),13.86)</f>
        <v>13.86</v>
      </c>
      <c r="I92" s="19" t="n">
        <f aca="false">IFERROR(H92/H91-1,0)</f>
        <v>0.00144508670520227</v>
      </c>
      <c r="J92" s="20"/>
      <c r="L92" s="17" t="n">
        <f aca="false">IFERROR(__xludf.dummyfunction("""COMPUTED_VALUE"""),46062.6666666666)</f>
        <v>46062.6666666666</v>
      </c>
      <c r="M92" s="18" t="n">
        <f aca="false">IFERROR(__xludf.dummyfunction("""COMPUTED_VALUE"""),39.09)</f>
        <v>39.09</v>
      </c>
      <c r="N92" s="19" t="n">
        <f aca="false">IFERROR(M92/M91-1,0)</f>
        <v>0.0257150354237734</v>
      </c>
      <c r="V92" s="19" t="n">
        <f aca="false">IFERROR((D92+I92+N92)/3,0)</f>
        <v>0.0142999637596761</v>
      </c>
      <c r="W92" s="19" t="n">
        <f aca="false">IFERROR(0.3*D92+0.6*I92+0.1*N92,0)</f>
        <v>0.00816048631051445</v>
      </c>
    </row>
    <row r="93" customFormat="false" ht="12.75" hidden="false" customHeight="true" outlineLevel="0" collapsed="false">
      <c r="B93" s="17" t="n">
        <f aca="false">IFERROR(__xludf.dummyfunction("""COMPUTED_VALUE"""),46063.6666666666)</f>
        <v>46063.6666666666</v>
      </c>
      <c r="C93" s="18" t="n">
        <f aca="false">IFERROR(__xludf.dummyfunction("""COMPUTED_VALUE"""),48.78)</f>
        <v>48.78</v>
      </c>
      <c r="D93" s="19" t="n">
        <f aca="false">IFERROR(C93/C92-1,0)</f>
        <v>0.00785123966942147</v>
      </c>
      <c r="E93" s="20"/>
      <c r="G93" s="17" t="n">
        <f aca="false">IFERROR(__xludf.dummyfunction("""COMPUTED_VALUE"""),46063.6666666666)</f>
        <v>46063.6666666666</v>
      </c>
      <c r="H93" s="18" t="n">
        <f aca="false">IFERROR(__xludf.dummyfunction("""COMPUTED_VALUE"""),13.88)</f>
        <v>13.88</v>
      </c>
      <c r="I93" s="19" t="n">
        <f aca="false">IFERROR(H93/H92-1,0)</f>
        <v>0.00144300144300158</v>
      </c>
      <c r="J93" s="20"/>
      <c r="L93" s="17" t="n">
        <f aca="false">IFERROR(__xludf.dummyfunction("""COMPUTED_VALUE"""),46063.6666666666)</f>
        <v>46063.6666666666</v>
      </c>
      <c r="M93" s="18" t="n">
        <f aca="false">IFERROR(__xludf.dummyfunction("""COMPUTED_VALUE"""),38.56)</f>
        <v>38.56</v>
      </c>
      <c r="N93" s="19" t="n">
        <f aca="false">IFERROR(M93/M92-1,0)</f>
        <v>-0.0135584548477872</v>
      </c>
      <c r="V93" s="19" t="n">
        <f aca="false">IFERROR((D93+I93+N93)/3,0)</f>
        <v>-0.00142140457845471</v>
      </c>
      <c r="W93" s="19" t="n">
        <f aca="false">IFERROR(0.3*D93+0.6*I93+0.1*N93,0)</f>
        <v>0.00186532728184867</v>
      </c>
    </row>
    <row r="94" customFormat="false" ht="12.75" hidden="false" customHeight="true" outlineLevel="0" collapsed="false">
      <c r="B94" s="17" t="n">
        <f aca="false">IFERROR(__xludf.dummyfunction("""COMPUTED_VALUE"""),46064.6666666666)</f>
        <v>46064.6666666666</v>
      </c>
      <c r="C94" s="18" t="n">
        <f aca="false">IFERROR(__xludf.dummyfunction("""COMPUTED_VALUE"""),48.65)</f>
        <v>48.65</v>
      </c>
      <c r="D94" s="19" t="n">
        <f aca="false">IFERROR(C94/C93-1,0)</f>
        <v>-0.00266502665026658</v>
      </c>
      <c r="E94" s="20"/>
      <c r="G94" s="17" t="n">
        <f aca="false">IFERROR(__xludf.dummyfunction("""COMPUTED_VALUE"""),46064.6666666666)</f>
        <v>46064.6666666666</v>
      </c>
      <c r="H94" s="18" t="n">
        <f aca="false">IFERROR(__xludf.dummyfunction("""COMPUTED_VALUE"""),13.9)</f>
        <v>13.9</v>
      </c>
      <c r="I94" s="19" t="n">
        <f aca="false">IFERROR(H94/H93-1,0)</f>
        <v>0.00144092219020164</v>
      </c>
      <c r="J94" s="20"/>
      <c r="L94" s="17" t="n">
        <f aca="false">IFERROR(__xludf.dummyfunction("""COMPUTED_VALUE"""),46064.6666666666)</f>
        <v>46064.6666666666</v>
      </c>
      <c r="M94" s="18" t="n">
        <f aca="false">IFERROR(__xludf.dummyfunction("""COMPUTED_VALUE"""),39.14)</f>
        <v>39.14</v>
      </c>
      <c r="N94" s="19" t="n">
        <f aca="false">IFERROR(M94/M93-1,0)</f>
        <v>0.0150414937759336</v>
      </c>
      <c r="V94" s="19" t="n">
        <f aca="false">IFERROR((D94+I94+N94)/3,0)</f>
        <v>0.00460579643862287</v>
      </c>
      <c r="W94" s="19" t="n">
        <f aca="false">IFERROR(0.3*D94+0.6*I94+0.1*N94,0)</f>
        <v>0.00156919469663437</v>
      </c>
    </row>
    <row r="95" customFormat="false" ht="12.75" hidden="false" customHeight="true" outlineLevel="0" collapsed="false">
      <c r="B95" s="17" t="n">
        <f aca="false">IFERROR(__xludf.dummyfunction("""COMPUTED_VALUE"""),46065.6666666666)</f>
        <v>46065.6666666666</v>
      </c>
      <c r="C95" s="18" t="n">
        <f aca="false">IFERROR(__xludf.dummyfunction("""COMPUTED_VALUE"""),47.79)</f>
        <v>47.79</v>
      </c>
      <c r="D95" s="19" t="n">
        <f aca="false">IFERROR(C95/C94-1,0)</f>
        <v>-0.0176772867420349</v>
      </c>
      <c r="E95" s="20"/>
      <c r="G95" s="17" t="n">
        <f aca="false">IFERROR(__xludf.dummyfunction("""COMPUTED_VALUE"""),46065.6666666666)</f>
        <v>46065.6666666666</v>
      </c>
      <c r="H95" s="18" t="n">
        <f aca="false">IFERROR(__xludf.dummyfunction("""COMPUTED_VALUE"""),13.94)</f>
        <v>13.94</v>
      </c>
      <c r="I95" s="19" t="n">
        <f aca="false">IFERROR(H95/H94-1,0)</f>
        <v>0.00287769784172665</v>
      </c>
      <c r="J95" s="20"/>
      <c r="L95" s="17" t="n">
        <f aca="false">IFERROR(__xludf.dummyfunction("""COMPUTED_VALUE"""),46065.6666666666)</f>
        <v>46065.6666666666</v>
      </c>
      <c r="M95" s="18" t="n">
        <f aca="false">IFERROR(__xludf.dummyfunction("""COMPUTED_VALUE"""),37.81)</f>
        <v>37.81</v>
      </c>
      <c r="N95" s="19" t="n">
        <f aca="false">IFERROR(M95/M94-1,0)</f>
        <v>-0.0339805825242718</v>
      </c>
      <c r="V95" s="19" t="n">
        <f aca="false">IFERROR((D95+I95+N95)/3,0)</f>
        <v>-0.0162600571415267</v>
      </c>
      <c r="W95" s="19" t="n">
        <f aca="false">IFERROR(0.3*D95+0.6*I95+0.1*N95,0)</f>
        <v>-0.00697462557000168</v>
      </c>
    </row>
    <row r="96" customFormat="false" ht="12.75" hidden="false" customHeight="true" outlineLevel="0" collapsed="false">
      <c r="B96" s="17" t="n">
        <f aca="false">IFERROR(__xludf.dummyfunction("""COMPUTED_VALUE"""),46066.6666666666)</f>
        <v>46066.6666666666</v>
      </c>
      <c r="C96" s="18" t="n">
        <f aca="false">IFERROR(__xludf.dummyfunction("""COMPUTED_VALUE"""),48.53)</f>
        <v>48.53</v>
      </c>
      <c r="D96" s="19" t="n">
        <f aca="false">IFERROR(C96/C95-1,0)</f>
        <v>0.015484410964637</v>
      </c>
      <c r="E96" s="20"/>
      <c r="G96" s="17" t="n">
        <f aca="false">IFERROR(__xludf.dummyfunction("""COMPUTED_VALUE"""),46066.6666666666)</f>
        <v>46066.6666666666</v>
      </c>
      <c r="H96" s="18" t="n">
        <f aca="false">IFERROR(__xludf.dummyfunction("""COMPUTED_VALUE"""),13.96)</f>
        <v>13.96</v>
      </c>
      <c r="I96" s="19" t="n">
        <f aca="false">IFERROR(H96/H95-1,0)</f>
        <v>0.00143472022955526</v>
      </c>
      <c r="J96" s="20"/>
      <c r="L96" s="17" t="n">
        <f aca="false">IFERROR(__xludf.dummyfunction("""COMPUTED_VALUE"""),46066.6666666666)</f>
        <v>46066.6666666666</v>
      </c>
      <c r="M96" s="18" t="n">
        <f aca="false">IFERROR(__xludf.dummyfunction("""COMPUTED_VALUE"""),38.7)</f>
        <v>38.7</v>
      </c>
      <c r="N96" s="19" t="n">
        <f aca="false">IFERROR(M96/M95-1,0)</f>
        <v>0.023538746363396</v>
      </c>
      <c r="V96" s="19" t="n">
        <f aca="false">IFERROR((D96+I96+N96)/3,0)</f>
        <v>0.0134859591858628</v>
      </c>
      <c r="W96" s="19" t="n">
        <f aca="false">IFERROR(0.3*D96+0.6*I96+0.1*N96,0)</f>
        <v>0.00786003006346388</v>
      </c>
    </row>
    <row r="97" customFormat="false" ht="12.75" hidden="false" customHeight="true" outlineLevel="0" collapsed="false">
      <c r="B97" s="17" t="n">
        <f aca="false">IFERROR(__xludf.dummyfunction("""COMPUTED_VALUE"""),46070.6666666666)</f>
        <v>46070.6666666666</v>
      </c>
      <c r="C97" s="18" t="n">
        <f aca="false">IFERROR(__xludf.dummyfunction("""COMPUTED_VALUE"""),48.38)</f>
        <v>48.38</v>
      </c>
      <c r="D97" s="19" t="n">
        <f aca="false">IFERROR(C97/C96-1,0)</f>
        <v>-0.00309087162579846</v>
      </c>
      <c r="E97" s="20"/>
      <c r="G97" s="17" t="n">
        <f aca="false">IFERROR(__xludf.dummyfunction("""COMPUTED_VALUE"""),46070.6666666666)</f>
        <v>46070.6666666666</v>
      </c>
      <c r="H97" s="18" t="n">
        <f aca="false">IFERROR(__xludf.dummyfunction("""COMPUTED_VALUE"""),13.97)</f>
        <v>13.97</v>
      </c>
      <c r="I97" s="19" t="n">
        <f aca="false">IFERROR(H97/H96-1,0)</f>
        <v>0.00071633237822355</v>
      </c>
      <c r="J97" s="20"/>
      <c r="L97" s="17" t="n">
        <f aca="false">IFERROR(__xludf.dummyfunction("""COMPUTED_VALUE"""),46070.6666666666)</f>
        <v>46070.6666666666</v>
      </c>
      <c r="M97" s="18" t="n">
        <f aca="false">IFERROR(__xludf.dummyfunction("""COMPUTED_VALUE"""),37.49)</f>
        <v>37.49</v>
      </c>
      <c r="N97" s="19" t="n">
        <f aca="false">IFERROR(M97/M96-1,0)</f>
        <v>-0.031266149870801</v>
      </c>
      <c r="V97" s="19" t="n">
        <f aca="false">IFERROR((D97+I97+N97)/3,0)</f>
        <v>-0.0112135630394586</v>
      </c>
      <c r="W97" s="19" t="n">
        <f aca="false">IFERROR(0.3*D97+0.6*I97+0.1*N97,0)</f>
        <v>-0.00362407704788551</v>
      </c>
    </row>
    <row r="98" customFormat="false" ht="12.75" hidden="false" customHeight="true" outlineLevel="0" collapsed="false">
      <c r="B98" s="17" t="n">
        <f aca="false">IFERROR(__xludf.dummyfunction("""COMPUTED_VALUE"""),46071.6666666666)</f>
        <v>46071.6666666666</v>
      </c>
      <c r="C98" s="18" t="n">
        <f aca="false">IFERROR(__xludf.dummyfunction("""COMPUTED_VALUE"""),49.08)</f>
        <v>49.08</v>
      </c>
      <c r="D98" s="19" t="n">
        <f aca="false">IFERROR(C98/C97-1,0)</f>
        <v>0.014468788755684</v>
      </c>
      <c r="E98" s="20"/>
      <c r="G98" s="17" t="n">
        <f aca="false">IFERROR(__xludf.dummyfunction("""COMPUTED_VALUE"""),46071.6666666666)</f>
        <v>46071.6666666666</v>
      </c>
      <c r="H98" s="18" t="n">
        <f aca="false">IFERROR(__xludf.dummyfunction("""COMPUTED_VALUE"""),13.97)</f>
        <v>13.97</v>
      </c>
      <c r="I98" s="19" t="n">
        <f aca="false">IFERROR(H98/H97-1,0)</f>
        <v>0</v>
      </c>
      <c r="J98" s="20"/>
      <c r="L98" s="17" t="n">
        <f aca="false">IFERROR(__xludf.dummyfunction("""COMPUTED_VALUE"""),46071.6666666666)</f>
        <v>46071.6666666666</v>
      </c>
      <c r="M98" s="18" t="n">
        <f aca="false">IFERROR(__xludf.dummyfunction("""COMPUTED_VALUE"""),38.29)</f>
        <v>38.29</v>
      </c>
      <c r="N98" s="19" t="n">
        <f aca="false">IFERROR(M98/M97-1,0)</f>
        <v>0.0213390237396638</v>
      </c>
      <c r="V98" s="19" t="n">
        <f aca="false">IFERROR((D98+I98+N98)/3,0)</f>
        <v>0.0119359374984493</v>
      </c>
      <c r="W98" s="19" t="n">
        <f aca="false">IFERROR(0.3*D98+0.6*I98+0.1*N98,0)</f>
        <v>0.00647453900067159</v>
      </c>
    </row>
    <row r="99" customFormat="false" ht="12.75" hidden="false" customHeight="true" outlineLevel="0" collapsed="false">
      <c r="B99" s="17" t="n">
        <f aca="false">IFERROR(__xludf.dummyfunction("""COMPUTED_VALUE"""),46072.6666666666)</f>
        <v>46072.6666666666</v>
      </c>
      <c r="C99" s="18" t="n">
        <f aca="false">IFERROR(__xludf.dummyfunction("""COMPUTED_VALUE"""),49.3)</f>
        <v>49.3</v>
      </c>
      <c r="D99" s="19" t="n">
        <f aca="false">IFERROR(C99/C98-1,0)</f>
        <v>0.004482477587612</v>
      </c>
      <c r="E99" s="20"/>
      <c r="G99" s="17" t="n">
        <f aca="false">IFERROR(__xludf.dummyfunction("""COMPUTED_VALUE"""),46072.6666666666)</f>
        <v>46072.6666666666</v>
      </c>
      <c r="H99" s="18" t="n">
        <f aca="false">IFERROR(__xludf.dummyfunction("""COMPUTED_VALUE"""),13.97)</f>
        <v>13.97</v>
      </c>
      <c r="I99" s="19" t="n">
        <f aca="false">IFERROR(H99/H98-1,0)</f>
        <v>0</v>
      </c>
      <c r="J99" s="20"/>
      <c r="L99" s="17" t="n">
        <f aca="false">IFERROR(__xludf.dummyfunction("""COMPUTED_VALUE"""),46072.6666666666)</f>
        <v>46072.6666666666</v>
      </c>
      <c r="M99" s="18" t="n">
        <f aca="false">IFERROR(__xludf.dummyfunction("""COMPUTED_VALUE"""),38.4)</f>
        <v>38.4</v>
      </c>
      <c r="N99" s="19" t="n">
        <f aca="false">IFERROR(M99/M98-1,0)</f>
        <v>0.00287281274484208</v>
      </c>
      <c r="V99" s="19" t="n">
        <f aca="false">IFERROR((D99+I99+N99)/3,0)</f>
        <v>0.00245176344415136</v>
      </c>
      <c r="W99" s="19" t="n">
        <f aca="false">IFERROR(0.3*D99+0.6*I99+0.1*N99,0)</f>
        <v>0.00163202455076781</v>
      </c>
    </row>
    <row r="100" customFormat="false" ht="12.75" hidden="false" customHeight="true" outlineLevel="0" collapsed="false">
      <c r="B100" s="17" t="n">
        <f aca="false">IFERROR(__xludf.dummyfunction("""COMPUTED_VALUE"""),46073.6666666666)</f>
        <v>46073.6666666666</v>
      </c>
      <c r="C100" s="18" t="n">
        <f aca="false">IFERROR(__xludf.dummyfunction("""COMPUTED_VALUE"""),49.57)</f>
        <v>49.57</v>
      </c>
      <c r="D100" s="19" t="n">
        <f aca="false">IFERROR(C100/C99-1,0)</f>
        <v>0.00547667342799185</v>
      </c>
      <c r="E100" s="20"/>
      <c r="G100" s="17" t="n">
        <f aca="false">IFERROR(__xludf.dummyfunction("""COMPUTED_VALUE"""),46073.6666666666)</f>
        <v>46073.6666666666</v>
      </c>
      <c r="H100" s="18" t="n">
        <f aca="false">IFERROR(__xludf.dummyfunction("""COMPUTED_VALUE"""),13.99)</f>
        <v>13.99</v>
      </c>
      <c r="I100" s="19" t="n">
        <f aca="false">IFERROR(H100/H99-1,0)</f>
        <v>0.00143163922691469</v>
      </c>
      <c r="J100" s="20"/>
      <c r="L100" s="17" t="n">
        <f aca="false">IFERROR(__xludf.dummyfunction("""COMPUTED_VALUE"""),46073.6666666666)</f>
        <v>46073.6666666666</v>
      </c>
      <c r="M100" s="18" t="n">
        <f aca="false">IFERROR(__xludf.dummyfunction("""COMPUTED_VALUE"""),39.11)</f>
        <v>39.11</v>
      </c>
      <c r="N100" s="19" t="n">
        <f aca="false">IFERROR(M100/M99-1,0)</f>
        <v>0.0184895833333334</v>
      </c>
      <c r="V100" s="19" t="n">
        <f aca="false">IFERROR((D100+I100+N100)/3,0)</f>
        <v>0.00846596532941331</v>
      </c>
      <c r="W100" s="19" t="n">
        <f aca="false">IFERROR(0.3*D100+0.6*I100+0.1*N100,0)</f>
        <v>0.00435094389787971</v>
      </c>
    </row>
    <row r="101" customFormat="false" ht="12.75" hidden="false" customHeight="true" outlineLevel="0" collapsed="false">
      <c r="B101" s="17" t="n">
        <f aca="false">IFERROR(__xludf.dummyfunction("""COMPUTED_VALUE"""),46076.6666666666)</f>
        <v>46076.6666666666</v>
      </c>
      <c r="C101" s="18" t="n">
        <f aca="false">IFERROR(__xludf.dummyfunction("""COMPUTED_VALUE"""),49.41)</f>
        <v>49.41</v>
      </c>
      <c r="D101" s="19" t="n">
        <f aca="false">IFERROR(C101/C100-1,0)</f>
        <v>-0.00322775872503533</v>
      </c>
      <c r="E101" s="20"/>
      <c r="G101" s="17" t="n">
        <f aca="false">IFERROR(__xludf.dummyfunction("""COMPUTED_VALUE"""),46076.6666666666)</f>
        <v>46076.6666666666</v>
      </c>
      <c r="H101" s="18" t="n">
        <f aca="false">IFERROR(__xludf.dummyfunction("""COMPUTED_VALUE"""),14.01)</f>
        <v>14.01</v>
      </c>
      <c r="I101" s="19" t="n">
        <f aca="false">IFERROR(H101/H100-1,0)</f>
        <v>0.00142959256611852</v>
      </c>
      <c r="J101" s="20"/>
      <c r="L101" s="17" t="n">
        <f aca="false">IFERROR(__xludf.dummyfunction("""COMPUTED_VALUE"""),46076.6666666666)</f>
        <v>46076.6666666666</v>
      </c>
      <c r="M101" s="18" t="n">
        <f aca="false">IFERROR(__xludf.dummyfunction("""COMPUTED_VALUE"""),40.25)</f>
        <v>40.25</v>
      </c>
      <c r="N101" s="19" t="n">
        <f aca="false">IFERROR(M101/M100-1,0)</f>
        <v>0.0291485553566864</v>
      </c>
      <c r="V101" s="19" t="n">
        <f aca="false">IFERROR((D101+I101+N101)/3,0)</f>
        <v>0.00911679639925652</v>
      </c>
      <c r="W101" s="19" t="n">
        <f aca="false">IFERROR(0.3*D101+0.6*I101+0.1*N101,0)</f>
        <v>0.00280428345782915</v>
      </c>
    </row>
    <row r="102" customFormat="false" ht="12.75" hidden="false" customHeight="true" outlineLevel="0" collapsed="false">
      <c r="B102" s="17" t="n">
        <f aca="false">IFERROR(__xludf.dummyfunction("""COMPUTED_VALUE"""),46077.6666666666)</f>
        <v>46077.6666666666</v>
      </c>
      <c r="C102" s="18" t="n">
        <f aca="false">IFERROR(__xludf.dummyfunction("""COMPUTED_VALUE"""),49.32)</f>
        <v>49.32</v>
      </c>
      <c r="D102" s="19" t="n">
        <f aca="false">IFERROR(C102/C101-1,0)</f>
        <v>-0.00182149362477224</v>
      </c>
      <c r="E102" s="20"/>
      <c r="G102" s="17" t="n">
        <f aca="false">IFERROR(__xludf.dummyfunction("""COMPUTED_VALUE"""),46077.6666666666)</f>
        <v>46077.6666666666</v>
      </c>
      <c r="H102" s="18" t="n">
        <f aca="false">IFERROR(__xludf.dummyfunction("""COMPUTED_VALUE"""),14)</f>
        <v>14</v>
      </c>
      <c r="I102" s="19" t="n">
        <f aca="false">IFERROR(H102/H101-1,0)</f>
        <v>-0.000713775874375378</v>
      </c>
      <c r="J102" s="20"/>
      <c r="L102" s="17" t="n">
        <f aca="false">IFERROR(__xludf.dummyfunction("""COMPUTED_VALUE"""),46077.6666666666)</f>
        <v>46077.6666666666</v>
      </c>
      <c r="M102" s="18" t="n">
        <f aca="false">IFERROR(__xludf.dummyfunction("""COMPUTED_VALUE"""),39.63)</f>
        <v>39.63</v>
      </c>
      <c r="N102" s="19" t="n">
        <f aca="false">IFERROR(M102/M101-1,0)</f>
        <v>-0.0154037267080744</v>
      </c>
      <c r="V102" s="19" t="n">
        <f aca="false">IFERROR((D102+I102+N102)/3,0)</f>
        <v>-0.00597966540240735</v>
      </c>
      <c r="W102" s="19" t="n">
        <f aca="false">IFERROR(0.3*D102+0.6*I102+0.1*N102,0)</f>
        <v>-0.00251508628286434</v>
      </c>
    </row>
    <row r="103" customFormat="false" ht="12.75" hidden="false" customHeight="true" outlineLevel="0" collapsed="false">
      <c r="B103" s="17" t="n">
        <f aca="false">IFERROR(__xludf.dummyfunction("""COMPUTED_VALUE"""),46078.6666666666)</f>
        <v>46078.6666666666</v>
      </c>
      <c r="C103" s="18" t="n">
        <f aca="false">IFERROR(__xludf.dummyfunction("""COMPUTED_VALUE"""),49.63)</f>
        <v>49.63</v>
      </c>
      <c r="D103" s="19" t="n">
        <f aca="false">IFERROR(C103/C102-1,0)</f>
        <v>0.00628548256285488</v>
      </c>
      <c r="E103" s="20"/>
      <c r="G103" s="17" t="n">
        <f aca="false">IFERROR(__xludf.dummyfunction("""COMPUTED_VALUE"""),46078.6666666666)</f>
        <v>46078.6666666666</v>
      </c>
      <c r="H103" s="18" t="n">
        <f aca="false">IFERROR(__xludf.dummyfunction("""COMPUTED_VALUE"""),14)</f>
        <v>14</v>
      </c>
      <c r="I103" s="19" t="n">
        <f aca="false">IFERROR(H103/H102-1,0)</f>
        <v>0</v>
      </c>
      <c r="J103" s="20"/>
      <c r="L103" s="17" t="n">
        <f aca="false">IFERROR(__xludf.dummyfunction("""COMPUTED_VALUE"""),46078.6666666666)</f>
        <v>46078.6666666666</v>
      </c>
      <c r="M103" s="18" t="n">
        <f aca="false">IFERROR(__xludf.dummyfunction("""COMPUTED_VALUE"""),39.57)</f>
        <v>39.57</v>
      </c>
      <c r="N103" s="19" t="n">
        <f aca="false">IFERROR(M103/M102-1,0)</f>
        <v>-0.00151400454201367</v>
      </c>
      <c r="V103" s="19" t="n">
        <f aca="false">IFERROR((D103+I103+N103)/3,0)</f>
        <v>0.00159049267361374</v>
      </c>
      <c r="W103" s="19" t="n">
        <f aca="false">IFERROR(0.3*D103+0.6*I103+0.1*N103,0)</f>
        <v>0.0017342443146551</v>
      </c>
    </row>
    <row r="104" customFormat="false" ht="12.75" hidden="false" customHeight="true" outlineLevel="0" collapsed="false">
      <c r="B104" s="17" t="n">
        <f aca="false">IFERROR(__xludf.dummyfunction("""COMPUTED_VALUE"""),46079.6666666666)</f>
        <v>46079.6666666666</v>
      </c>
      <c r="C104" s="18" t="n">
        <f aca="false">IFERROR(__xludf.dummyfunction("""COMPUTED_VALUE"""),50.03)</f>
        <v>50.03</v>
      </c>
      <c r="D104" s="19" t="n">
        <f aca="false">IFERROR(C104/C103-1,0)</f>
        <v>0.00805964134596016</v>
      </c>
      <c r="E104" s="20"/>
      <c r="G104" s="17" t="n">
        <f aca="false">IFERROR(__xludf.dummyfunction("""COMPUTED_VALUE"""),46079.6666666666)</f>
        <v>46079.6666666666</v>
      </c>
      <c r="H104" s="18" t="n">
        <f aca="false">IFERROR(__xludf.dummyfunction("""COMPUTED_VALUE"""),13.99)</f>
        <v>13.99</v>
      </c>
      <c r="I104" s="19" t="n">
        <f aca="false">IFERROR(H104/H103-1,0)</f>
        <v>-0.000714285714285667</v>
      </c>
      <c r="J104" s="20"/>
      <c r="L104" s="17" t="n">
        <f aca="false">IFERROR(__xludf.dummyfunction("""COMPUTED_VALUE"""),46079.6666666666)</f>
        <v>46079.6666666666</v>
      </c>
      <c r="M104" s="18" t="n">
        <f aca="false">IFERROR(__xludf.dummyfunction("""COMPUTED_VALUE"""),39.95)</f>
        <v>39.95</v>
      </c>
      <c r="N104" s="19" t="n">
        <f aca="false">IFERROR(M104/M103-1,0)</f>
        <v>0.00960323477381864</v>
      </c>
      <c r="V104" s="19" t="n">
        <f aca="false">IFERROR((D104+I104+N104)/3,0)</f>
        <v>0.00564953013516438</v>
      </c>
      <c r="W104" s="19" t="n">
        <f aca="false">IFERROR(0.3*D104+0.6*I104+0.1*N104,0)</f>
        <v>0.00294964445259851</v>
      </c>
    </row>
    <row r="105" customFormat="false" ht="12.75" hidden="false" customHeight="true" outlineLevel="0" collapsed="false">
      <c r="B105" s="17" t="n">
        <f aca="false">IFERROR(__xludf.dummyfunction("""COMPUTED_VALUE"""),46080.6666666666)</f>
        <v>46080.6666666666</v>
      </c>
      <c r="C105" s="18" t="n">
        <f aca="false">IFERROR(__xludf.dummyfunction("""COMPUTED_VALUE"""),49.71)</f>
        <v>49.71</v>
      </c>
      <c r="D105" s="19" t="n">
        <f aca="false">IFERROR(C105/C104-1,0)</f>
        <v>-0.00639616230261841</v>
      </c>
      <c r="E105" s="20"/>
      <c r="G105" s="17" t="n">
        <f aca="false">IFERROR(__xludf.dummyfunction("""COMPUTED_VALUE"""),46080.6666666666)</f>
        <v>46080.6666666666</v>
      </c>
      <c r="H105" s="18" t="n">
        <f aca="false">IFERROR(__xludf.dummyfunction("""COMPUTED_VALUE"""),14)</f>
        <v>14</v>
      </c>
      <c r="I105" s="19" t="n">
        <f aca="false">IFERROR(H105/H104-1,0)</f>
        <v>0.000714796283059371</v>
      </c>
      <c r="J105" s="20"/>
      <c r="L105" s="17" t="n">
        <f aca="false">IFERROR(__xludf.dummyfunction("""COMPUTED_VALUE"""),46080.6666666666)</f>
        <v>46080.6666666666</v>
      </c>
      <c r="M105" s="18" t="n">
        <f aca="false">IFERROR(__xludf.dummyfunction("""COMPUTED_VALUE"""),40.46)</f>
        <v>40.46</v>
      </c>
      <c r="N105" s="19" t="n">
        <f aca="false">IFERROR(M105/M104-1,0)</f>
        <v>0.0127659574468084</v>
      </c>
      <c r="V105" s="19" t="n">
        <f aca="false">IFERROR((D105+I105+N105)/3,0)</f>
        <v>0.00236153047574979</v>
      </c>
      <c r="W105" s="19" t="n">
        <f aca="false">IFERROR(0.3*D105+0.6*I105+0.1*N105,0)</f>
        <v>-0.000213375176269059</v>
      </c>
    </row>
    <row r="106" customFormat="false" ht="12.75" hidden="false" customHeight="true" outlineLevel="0" collapsed="false">
      <c r="B106" s="17" t="n">
        <f aca="false">IFERROR(__xludf.dummyfunction("""COMPUTED_VALUE"""),46083.6666666666)</f>
        <v>46083.6666666666</v>
      </c>
      <c r="C106" s="18" t="n">
        <f aca="false">IFERROR(__xludf.dummyfunction("""COMPUTED_VALUE"""),50.06)</f>
        <v>50.06</v>
      </c>
      <c r="D106" s="19" t="n">
        <f aca="false">IFERROR(C106/C105-1,0)</f>
        <v>0.00704083685375179</v>
      </c>
      <c r="E106" s="20"/>
      <c r="G106" s="17" t="n">
        <f aca="false">IFERROR(__xludf.dummyfunction("""COMPUTED_VALUE"""),46083.6666666666)</f>
        <v>46083.6666666666</v>
      </c>
      <c r="H106" s="18" t="n">
        <f aca="false">IFERROR(__xludf.dummyfunction("""COMPUTED_VALUE"""),13.94)</f>
        <v>13.94</v>
      </c>
      <c r="I106" s="19" t="n">
        <f aca="false">IFERROR(H106/H105-1,0)</f>
        <v>-0.00428571428571434</v>
      </c>
      <c r="J106" s="20"/>
      <c r="L106" s="17" t="n">
        <f aca="false">IFERROR(__xludf.dummyfunction("""COMPUTED_VALUE"""),46083.6666666666)</f>
        <v>46083.6666666666</v>
      </c>
      <c r="M106" s="18" t="n">
        <f aca="false">IFERROR(__xludf.dummyfunction("""COMPUTED_VALUE"""),40.98)</f>
        <v>40.98</v>
      </c>
      <c r="N106" s="19" t="n">
        <f aca="false">IFERROR(M106/M105-1,0)</f>
        <v>0.0128521997034108</v>
      </c>
      <c r="V106" s="19" t="n">
        <f aca="false">IFERROR((D106+I106+N106)/3,0)</f>
        <v>0.00520244075714941</v>
      </c>
      <c r="W106" s="19" t="n">
        <f aca="false">IFERROR(0.3*D106+0.6*I106+0.1*N106,0)</f>
        <v>0.000826042455038012</v>
      </c>
    </row>
    <row r="107" customFormat="false" ht="12.75" hidden="false" customHeight="true" outlineLevel="0" collapsed="false">
      <c r="B107" s="17" t="n">
        <f aca="false">IFERROR(__xludf.dummyfunction("""COMPUTED_VALUE"""),46084.6666666666)</f>
        <v>46084.6666666666</v>
      </c>
      <c r="C107" s="18" t="n">
        <f aca="false">IFERROR(__xludf.dummyfunction("""COMPUTED_VALUE"""),49.16)</f>
        <v>49.16</v>
      </c>
      <c r="D107" s="19" t="n">
        <f aca="false">IFERROR(C107/C106-1,0)</f>
        <v>-0.0179784258889334</v>
      </c>
      <c r="E107" s="20"/>
      <c r="G107" s="17" t="n">
        <f aca="false">IFERROR(__xludf.dummyfunction("""COMPUTED_VALUE"""),46084.6666666666)</f>
        <v>46084.6666666666</v>
      </c>
      <c r="H107" s="18" t="n">
        <f aca="false">IFERROR(__xludf.dummyfunction("""COMPUTED_VALUE"""),13.91)</f>
        <v>13.91</v>
      </c>
      <c r="I107" s="19" t="n">
        <f aca="false">IFERROR(H107/H106-1,0)</f>
        <v>-0.00215208034433279</v>
      </c>
      <c r="J107" s="20"/>
      <c r="L107" s="17" t="n">
        <f aca="false">IFERROR(__xludf.dummyfunction("""COMPUTED_VALUE"""),46084.6666666666)</f>
        <v>46084.6666666666</v>
      </c>
      <c r="M107" s="18" t="n">
        <f aca="false">IFERROR(__xludf.dummyfunction("""COMPUTED_VALUE"""),39.14)</f>
        <v>39.14</v>
      </c>
      <c r="N107" s="19" t="n">
        <f aca="false">IFERROR(M107/M106-1,0)</f>
        <v>-0.0448999511957051</v>
      </c>
      <c r="V107" s="19" t="n">
        <f aca="false">IFERROR((D107+I107+N107)/3,0)</f>
        <v>-0.0216768191429904</v>
      </c>
      <c r="W107" s="19" t="n">
        <f aca="false">IFERROR(0.3*D107+0.6*I107+0.1*N107,0)</f>
        <v>-0.0111747710928502</v>
      </c>
    </row>
    <row r="108" customFormat="false" ht="12.75" hidden="false" customHeight="true" outlineLevel="0" collapsed="false">
      <c r="B108" s="17" t="n">
        <f aca="false">IFERROR(__xludf.dummyfunction("""COMPUTED_VALUE"""),46085.6666666666)</f>
        <v>46085.6666666666</v>
      </c>
      <c r="C108" s="18" t="n">
        <f aca="false">IFERROR(__xludf.dummyfunction("""COMPUTED_VALUE"""),49.42)</f>
        <v>49.42</v>
      </c>
      <c r="D108" s="19" t="n">
        <f aca="false">IFERROR(C108/C107-1,0)</f>
        <v>0.00528885272579349</v>
      </c>
      <c r="E108" s="20"/>
      <c r="G108" s="17" t="n">
        <f aca="false">IFERROR(__xludf.dummyfunction("""COMPUTED_VALUE"""),46085.6666666666)</f>
        <v>46085.6666666666</v>
      </c>
      <c r="H108" s="18" t="n">
        <f aca="false">IFERROR(__xludf.dummyfunction("""COMPUTED_VALUE"""),13.9)</f>
        <v>13.9</v>
      </c>
      <c r="I108" s="19" t="n">
        <f aca="false">IFERROR(H108/H107-1,0)</f>
        <v>-0.000718907260963353</v>
      </c>
      <c r="J108" s="20"/>
      <c r="L108" s="17" t="n">
        <f aca="false">IFERROR(__xludf.dummyfunction("""COMPUTED_VALUE"""),46085.6666666666)</f>
        <v>46085.6666666666</v>
      </c>
      <c r="M108" s="18" t="n">
        <f aca="false">IFERROR(__xludf.dummyfunction("""COMPUTED_VALUE"""),39.4)</f>
        <v>39.4</v>
      </c>
      <c r="N108" s="19" t="n">
        <f aca="false">IFERROR(M108/M107-1,0)</f>
        <v>0.00664282064384247</v>
      </c>
      <c r="V108" s="19" t="n">
        <f aca="false">IFERROR((D108+I108+N108)/3,0)</f>
        <v>0.00373758870289087</v>
      </c>
      <c r="W108" s="19" t="n">
        <f aca="false">IFERROR(0.3*D108+0.6*I108+0.1*N108,0)</f>
        <v>0.00181959352554428</v>
      </c>
    </row>
    <row r="109" customFormat="false" ht="12.75" hidden="false" customHeight="true" outlineLevel="0" collapsed="false">
      <c r="B109" s="17" t="n">
        <f aca="false">IFERROR(__xludf.dummyfunction("""COMPUTED_VALUE"""),46086.6666666666)</f>
        <v>46086.6666666666</v>
      </c>
      <c r="C109" s="18" t="n">
        <f aca="false">IFERROR(__xludf.dummyfunction("""COMPUTED_VALUE"""),49.05)</f>
        <v>49.05</v>
      </c>
      <c r="D109" s="19" t="n">
        <f aca="false">IFERROR(C109/C108-1,0)</f>
        <v>-0.00748684743019035</v>
      </c>
      <c r="E109" s="20"/>
      <c r="G109" s="17" t="n">
        <f aca="false">IFERROR(__xludf.dummyfunction("""COMPUTED_VALUE"""),46086.6666666666)</f>
        <v>46086.6666666666</v>
      </c>
      <c r="H109" s="18" t="n">
        <f aca="false">IFERROR(__xludf.dummyfunction("""COMPUTED_VALUE"""),13.85)</f>
        <v>13.85</v>
      </c>
      <c r="I109" s="19" t="n">
        <f aca="false">IFERROR(H109/H108-1,0)</f>
        <v>-0.00359712230215836</v>
      </c>
      <c r="J109" s="20"/>
      <c r="L109" s="17" t="n">
        <f aca="false">IFERROR(__xludf.dummyfunction("""COMPUTED_VALUE"""),46086.6666666666)</f>
        <v>46086.6666666666</v>
      </c>
      <c r="M109" s="18" t="n">
        <f aca="false">IFERROR(__xludf.dummyfunction("""COMPUTED_VALUE"""),38.93)</f>
        <v>38.93</v>
      </c>
      <c r="N109" s="19" t="n">
        <f aca="false">IFERROR(M109/M108-1,0)</f>
        <v>-0.0119289340101523</v>
      </c>
      <c r="V109" s="19" t="n">
        <f aca="false">IFERROR((D109+I109+N109)/3,0)</f>
        <v>-0.00767096791416699</v>
      </c>
      <c r="W109" s="19" t="n">
        <f aca="false">IFERROR(0.3*D109+0.6*I109+0.1*N109,0)</f>
        <v>-0.00559722101136735</v>
      </c>
    </row>
    <row r="110" customFormat="false" ht="12.75" hidden="false" customHeight="true" outlineLevel="0" collapsed="false">
      <c r="B110" s="17" t="n">
        <f aca="false">IFERROR(__xludf.dummyfunction("""COMPUTED_VALUE"""),46087.6666666666)</f>
        <v>46087.6666666666</v>
      </c>
      <c r="C110" s="18" t="n">
        <f aca="false">IFERROR(__xludf.dummyfunction("""COMPUTED_VALUE"""),48.28)</f>
        <v>48.28</v>
      </c>
      <c r="D110" s="19" t="n">
        <f aca="false">IFERROR(C110/C109-1,0)</f>
        <v>-0.0156982670744138</v>
      </c>
      <c r="E110" s="20"/>
      <c r="G110" s="17" t="n">
        <f aca="false">IFERROR(__xludf.dummyfunction("""COMPUTED_VALUE"""),46087.6666666666)</f>
        <v>46087.6666666666</v>
      </c>
      <c r="H110" s="18" t="n">
        <f aca="false">IFERROR(__xludf.dummyfunction("""COMPUTED_VALUE"""),13.78)</f>
        <v>13.78</v>
      </c>
      <c r="I110" s="19" t="n">
        <f aca="false">IFERROR(H110/H109-1,0)</f>
        <v>-0.00505415162454881</v>
      </c>
      <c r="J110" s="20"/>
      <c r="L110" s="17" t="n">
        <f aca="false">IFERROR(__xludf.dummyfunction("""COMPUTED_VALUE"""),46087.6666666666)</f>
        <v>46087.6666666666</v>
      </c>
      <c r="M110" s="18" t="n">
        <f aca="false">IFERROR(__xludf.dummyfunction("""COMPUTED_VALUE"""),39.55)</f>
        <v>39.55</v>
      </c>
      <c r="N110" s="19" t="n">
        <f aca="false">IFERROR(M110/M109-1,0)</f>
        <v>0.0159260210634471</v>
      </c>
      <c r="V110" s="19" t="n">
        <f aca="false">IFERROR((D110+I110+N110)/3,0)</f>
        <v>-0.0016087992118385</v>
      </c>
      <c r="W110" s="19" t="n">
        <f aca="false">IFERROR(0.3*D110+0.6*I110+0.1*N110,0)</f>
        <v>-0.00614936899070871</v>
      </c>
    </row>
    <row r="111" customFormat="false" ht="12.75" hidden="false" customHeight="true" outlineLevel="0" collapsed="false">
      <c r="B111" s="17" t="n">
        <f aca="false">IFERROR(__xludf.dummyfunction("""COMPUTED_VALUE"""),46090.6666666666)</f>
        <v>46090.6666666666</v>
      </c>
      <c r="C111" s="18" t="n">
        <f aca="false">IFERROR(__xludf.dummyfunction("""COMPUTED_VALUE"""),48.46)</f>
        <v>48.46</v>
      </c>
      <c r="D111" s="19" t="n">
        <f aca="false">IFERROR(C111/C110-1,0)</f>
        <v>0.00372825186412595</v>
      </c>
      <c r="E111" s="20"/>
      <c r="G111" s="17" t="n">
        <f aca="false">IFERROR(__xludf.dummyfunction("""COMPUTED_VALUE"""),46090.6666666666)</f>
        <v>46090.6666666666</v>
      </c>
      <c r="H111" s="18" t="n">
        <f aca="false">IFERROR(__xludf.dummyfunction("""COMPUTED_VALUE"""),13.81)</f>
        <v>13.81</v>
      </c>
      <c r="I111" s="19" t="n">
        <f aca="false">IFERROR(H111/H110-1,0)</f>
        <v>0.00217706821480412</v>
      </c>
      <c r="J111" s="20"/>
      <c r="L111" s="17" t="n">
        <f aca="false">IFERROR(__xludf.dummyfunction("""COMPUTED_VALUE"""),46090.6666666666)</f>
        <v>46090.6666666666</v>
      </c>
      <c r="M111" s="18" t="n">
        <f aca="false">IFERROR(__xludf.dummyfunction("""COMPUTED_VALUE"""),39.52)</f>
        <v>39.52</v>
      </c>
      <c r="N111" s="19" t="n">
        <f aca="false">IFERROR(M111/M110-1,0)</f>
        <v>-0.000758533501896141</v>
      </c>
      <c r="V111" s="19" t="n">
        <f aca="false">IFERROR((D111+I111+N111)/3,0)</f>
        <v>0.00171559552567798</v>
      </c>
      <c r="W111" s="19" t="n">
        <f aca="false">IFERROR(0.3*D111+0.6*I111+0.1*N111,0)</f>
        <v>0.00234886313793065</v>
      </c>
    </row>
    <row r="112" customFormat="false" ht="12.75" hidden="false" customHeight="true" outlineLevel="0" collapsed="false">
      <c r="B112" s="17" t="n">
        <f aca="false">IFERROR(__xludf.dummyfunction("""COMPUTED_VALUE"""),46091.6666666666)</f>
        <v>46091.6666666666</v>
      </c>
      <c r="C112" s="18" t="n">
        <f aca="false">IFERROR(__xludf.dummyfunction("""COMPUTED_VALUE"""),48.55)</f>
        <v>48.55</v>
      </c>
      <c r="D112" s="19" t="n">
        <f aca="false">IFERROR(C112/C111-1,0)</f>
        <v>0.00185720181593063</v>
      </c>
      <c r="E112" s="20"/>
      <c r="G112" s="17" t="n">
        <f aca="false">IFERROR(__xludf.dummyfunction("""COMPUTED_VALUE"""),46091.6666666666)</f>
        <v>46091.6666666666</v>
      </c>
      <c r="H112" s="18" t="n">
        <f aca="false">IFERROR(__xludf.dummyfunction("""COMPUTED_VALUE"""),13.8)</f>
        <v>13.8</v>
      </c>
      <c r="I112" s="19" t="n">
        <f aca="false">IFERROR(H112/H111-1,0)</f>
        <v>-0.000724112961622003</v>
      </c>
      <c r="J112" s="20"/>
      <c r="L112" s="17" t="n">
        <f aca="false">IFERROR(__xludf.dummyfunction("""COMPUTED_VALUE"""),46091.6666666666)</f>
        <v>46091.6666666666</v>
      </c>
      <c r="M112" s="18" t="n">
        <f aca="false">IFERROR(__xludf.dummyfunction("""COMPUTED_VALUE"""),39.89)</f>
        <v>39.89</v>
      </c>
      <c r="N112" s="19" t="n">
        <f aca="false">IFERROR(M112/M111-1,0)</f>
        <v>0.00936234817813753</v>
      </c>
      <c r="V112" s="19" t="n">
        <f aca="false">IFERROR((D112+I112+N112)/3,0)</f>
        <v>0.00349847901081538</v>
      </c>
      <c r="W112" s="19" t="n">
        <f aca="false">IFERROR(0.3*D112+0.6*I112+0.1*N112,0)</f>
        <v>0.00105892758561974</v>
      </c>
    </row>
    <row r="113" customFormat="false" ht="12.75" hidden="false" customHeight="true" outlineLevel="0" collapsed="false">
      <c r="B113" s="17" t="n">
        <f aca="false">IFERROR(__xludf.dummyfunction("""COMPUTED_VALUE"""),46092.6666666666)</f>
        <v>46092.6666666666</v>
      </c>
      <c r="C113" s="18" t="n">
        <f aca="false">IFERROR(__xludf.dummyfunction("""COMPUTED_VALUE"""),48.37)</f>
        <v>48.37</v>
      </c>
      <c r="D113" s="19" t="n">
        <f aca="false">IFERROR(C113/C112-1,0)</f>
        <v>-0.00370751802265701</v>
      </c>
      <c r="E113" s="20"/>
      <c r="G113" s="17" t="n">
        <f aca="false">IFERROR(__xludf.dummyfunction("""COMPUTED_VALUE"""),46092.6666666666)</f>
        <v>46092.6666666666</v>
      </c>
      <c r="H113" s="18" t="n">
        <f aca="false">IFERROR(__xludf.dummyfunction("""COMPUTED_VALUE"""),13.71)</f>
        <v>13.71</v>
      </c>
      <c r="I113" s="19" t="n">
        <f aca="false">IFERROR(H113/H112-1,0)</f>
        <v>-0.00652173913043475</v>
      </c>
      <c r="J113" s="20"/>
      <c r="L113" s="17" t="n">
        <f aca="false">IFERROR(__xludf.dummyfunction("""COMPUTED_VALUE"""),46092.6666666666)</f>
        <v>46092.6666666666</v>
      </c>
      <c r="M113" s="18" t="n">
        <f aca="false">IFERROR(__xludf.dummyfunction("""COMPUTED_VALUE"""),39.73)</f>
        <v>39.73</v>
      </c>
      <c r="N113" s="19" t="n">
        <f aca="false">IFERROR(M113/M112-1,0)</f>
        <v>-0.00401103033341699</v>
      </c>
      <c r="V113" s="19" t="n">
        <f aca="false">IFERROR((D113+I113+N113)/3,0)</f>
        <v>-0.00474676249550291</v>
      </c>
      <c r="W113" s="19" t="n">
        <f aca="false">IFERROR(0.3*D113+0.6*I113+0.1*N113,0)</f>
        <v>-0.00542640191839965</v>
      </c>
    </row>
    <row r="114" customFormat="false" ht="12.75" hidden="false" customHeight="true" outlineLevel="0" collapsed="false">
      <c r="B114" s="17" t="n">
        <f aca="false">IFERROR(__xludf.dummyfunction("""COMPUTED_VALUE"""),46093.6666666666)</f>
        <v>46093.6666666666</v>
      </c>
      <c r="C114" s="18" t="n">
        <f aca="false">IFERROR(__xludf.dummyfunction("""COMPUTED_VALUE"""),48.03)</f>
        <v>48.03</v>
      </c>
      <c r="D114" s="19" t="n">
        <f aca="false">IFERROR(C114/C113-1,0)</f>
        <v>-0.00702915029977247</v>
      </c>
      <c r="E114" s="20"/>
      <c r="G114" s="17" t="n">
        <f aca="false">IFERROR(__xludf.dummyfunction("""COMPUTED_VALUE"""),46093.6666666666)</f>
        <v>46093.6666666666</v>
      </c>
      <c r="H114" s="18" t="n">
        <f aca="false">IFERROR(__xludf.dummyfunction("""COMPUTED_VALUE"""),13.67)</f>
        <v>13.67</v>
      </c>
      <c r="I114" s="19" t="n">
        <f aca="false">IFERROR(H114/H113-1,0)</f>
        <v>-0.0029175784099198</v>
      </c>
      <c r="J114" s="20"/>
      <c r="L114" s="17" t="n">
        <f aca="false">IFERROR(__xludf.dummyfunction("""COMPUTED_VALUE"""),46093.6666666666)</f>
        <v>46093.6666666666</v>
      </c>
      <c r="M114" s="18" t="n">
        <f aca="false">IFERROR(__xludf.dummyfunction("""COMPUTED_VALUE"""),39.02)</f>
        <v>39.02</v>
      </c>
      <c r="N114" s="19" t="n">
        <f aca="false">IFERROR(M114/M113-1,0)</f>
        <v>-0.0178706267304303</v>
      </c>
      <c r="V114" s="19" t="n">
        <f aca="false">IFERROR((D114+I114+N114)/3,0)</f>
        <v>-0.00927245181337418</v>
      </c>
      <c r="W114" s="19" t="n">
        <f aca="false">IFERROR(0.3*D114+0.6*I114+0.1*N114,0)</f>
        <v>-0.00564635480892665</v>
      </c>
    </row>
    <row r="115" customFormat="false" ht="12.75" hidden="false" customHeight="true" outlineLevel="0" collapsed="false">
      <c r="B115" s="17" t="n">
        <f aca="false">IFERROR(__xludf.dummyfunction("""COMPUTED_VALUE"""),46094.6666666666)</f>
        <v>46094.6666666666</v>
      </c>
      <c r="C115" s="18" t="n">
        <f aca="false">IFERROR(__xludf.dummyfunction("""COMPUTED_VALUE"""),47.7)</f>
        <v>47.7</v>
      </c>
      <c r="D115" s="19" t="n">
        <f aca="false">IFERROR(C115/C114-1,0)</f>
        <v>-0.00687070580886939</v>
      </c>
      <c r="E115" s="20"/>
      <c r="G115" s="17" t="n">
        <f aca="false">IFERROR(__xludf.dummyfunction("""COMPUTED_VALUE"""),46094.6666666666)</f>
        <v>46094.6666666666</v>
      </c>
      <c r="H115" s="18" t="n">
        <f aca="false">IFERROR(__xludf.dummyfunction("""COMPUTED_VALUE"""),13.68)</f>
        <v>13.68</v>
      </c>
      <c r="I115" s="19" t="n">
        <f aca="false">IFERROR(H115/H114-1,0)</f>
        <v>0.000731528895391298</v>
      </c>
      <c r="J115" s="20"/>
      <c r="L115" s="17" t="n">
        <f aca="false">IFERROR(__xludf.dummyfunction("""COMPUTED_VALUE"""),46094.6666666666)</f>
        <v>46094.6666666666</v>
      </c>
      <c r="M115" s="18" t="n">
        <f aca="false">IFERROR(__xludf.dummyfunction("""COMPUTED_VALUE"""),38.5)</f>
        <v>38.5</v>
      </c>
      <c r="N115" s="19" t="n">
        <f aca="false">IFERROR(M115/M114-1,0)</f>
        <v>-0.0133264992311636</v>
      </c>
      <c r="V115" s="19" t="n">
        <f aca="false">IFERROR((D115+I115+N115)/3,0)</f>
        <v>-0.00648855871488056</v>
      </c>
      <c r="W115" s="19" t="n">
        <f aca="false">IFERROR(0.3*D115+0.6*I115+0.1*N115,0)</f>
        <v>-0.0029549443285424</v>
      </c>
    </row>
    <row r="116" customFormat="false" ht="12.75" hidden="false" customHeight="true" outlineLevel="0" collapsed="false">
      <c r="B116" s="17" t="n">
        <f aca="false">IFERROR(__xludf.dummyfunction("""COMPUTED_VALUE"""),46097.6666666666)</f>
        <v>46097.6666666666</v>
      </c>
      <c r="C116" s="18" t="n">
        <f aca="false">IFERROR(__xludf.dummyfunction("""COMPUTED_VALUE"""),48.27)</f>
        <v>48.27</v>
      </c>
      <c r="D116" s="19" t="n">
        <f aca="false">IFERROR(C116/C115-1,0)</f>
        <v>0.0119496855345913</v>
      </c>
      <c r="E116" s="20"/>
      <c r="G116" s="17" t="n">
        <f aca="false">IFERROR(__xludf.dummyfunction("""COMPUTED_VALUE"""),46097.6666666666)</f>
        <v>46097.6666666666</v>
      </c>
      <c r="H116" s="18" t="n">
        <f aca="false">IFERROR(__xludf.dummyfunction("""COMPUTED_VALUE"""),13.74)</f>
        <v>13.74</v>
      </c>
      <c r="I116" s="19" t="n">
        <f aca="false">IFERROR(H116/H115-1,0)</f>
        <v>0.00438596491228083</v>
      </c>
      <c r="J116" s="20"/>
      <c r="L116" s="17" t="n">
        <f aca="false">IFERROR(__xludf.dummyfunction("""COMPUTED_VALUE"""),46097.6666666666)</f>
        <v>46097.6666666666</v>
      </c>
      <c r="M116" s="18" t="n">
        <f aca="false">IFERROR(__xludf.dummyfunction("""COMPUTED_VALUE"""),38.45)</f>
        <v>38.45</v>
      </c>
      <c r="N116" s="19" t="n">
        <f aca="false">IFERROR(M116/M115-1,0)</f>
        <v>-0.00129870129870124</v>
      </c>
      <c r="V116" s="19" t="n">
        <f aca="false">IFERROR((D116+I116+N116)/3,0)</f>
        <v>0.00501231638272363</v>
      </c>
      <c r="W116" s="19" t="n">
        <f aca="false">IFERROR(0.3*D116+0.6*I116+0.1*N116,0)</f>
        <v>0.00608661447787576</v>
      </c>
    </row>
    <row r="117" customFormat="false" ht="12.75" hidden="false" customHeight="true" outlineLevel="0" collapsed="false">
      <c r="B117" s="17" t="n">
        <f aca="false">IFERROR(__xludf.dummyfunction("""COMPUTED_VALUE"""),46098.6666666666)</f>
        <v>46098.6666666666</v>
      </c>
      <c r="C117" s="18" t="n">
        <f aca="false">IFERROR(__xludf.dummyfunction("""COMPUTED_VALUE"""),48.37)</f>
        <v>48.37</v>
      </c>
      <c r="D117" s="19" t="n">
        <f aca="false">IFERROR(C117/C116-1,0)</f>
        <v>0.00207168013258752</v>
      </c>
      <c r="E117" s="20"/>
      <c r="G117" s="17" t="n">
        <f aca="false">IFERROR(__xludf.dummyfunction("""COMPUTED_VALUE"""),46098.6666666666)</f>
        <v>46098.6666666666</v>
      </c>
      <c r="H117" s="18" t="n">
        <f aca="false">IFERROR(__xludf.dummyfunction("""COMPUTED_VALUE"""),13.77)</f>
        <v>13.77</v>
      </c>
      <c r="I117" s="19" t="n">
        <f aca="false">IFERROR(H117/H116-1,0)</f>
        <v>0.00218340611353707</v>
      </c>
      <c r="J117" s="20"/>
      <c r="L117" s="17" t="n">
        <f aca="false">IFERROR(__xludf.dummyfunction("""COMPUTED_VALUE"""),46098.6666666666)</f>
        <v>46098.6666666666</v>
      </c>
      <c r="M117" s="18" t="n">
        <f aca="false">IFERROR(__xludf.dummyfunction("""COMPUTED_VALUE"""),38.38)</f>
        <v>38.38</v>
      </c>
      <c r="N117" s="19" t="n">
        <f aca="false">IFERROR(M117/M116-1,0)</f>
        <v>-0.00182054616384919</v>
      </c>
      <c r="V117" s="19" t="n">
        <f aca="false">IFERROR((D117+I117+N117)/3,0)</f>
        <v>0.000811513360758465</v>
      </c>
      <c r="W117" s="19" t="n">
        <f aca="false">IFERROR(0.3*D117+0.6*I117+0.1*N117,0)</f>
        <v>0.00174949309151358</v>
      </c>
    </row>
    <row r="118" customFormat="false" ht="12.75" hidden="false" customHeight="true" outlineLevel="0" collapsed="false">
      <c r="B118" s="17" t="n">
        <f aca="false">IFERROR(__xludf.dummyfunction("""COMPUTED_VALUE"""),46099.6666666666)</f>
        <v>46099.6666666666</v>
      </c>
      <c r="C118" s="18" t="n">
        <f aca="false">IFERROR(__xludf.dummyfunction("""COMPUTED_VALUE"""),47.54)</f>
        <v>47.54</v>
      </c>
      <c r="D118" s="19" t="n">
        <f aca="false">IFERROR(C118/C117-1,0)</f>
        <v>-0.0171593963200331</v>
      </c>
      <c r="E118" s="20"/>
      <c r="G118" s="17" t="n">
        <f aca="false">IFERROR(__xludf.dummyfunction("""COMPUTED_VALUE"""),46099.6666666666)</f>
        <v>46099.6666666666</v>
      </c>
      <c r="H118" s="18" t="n">
        <f aca="false">IFERROR(__xludf.dummyfunction("""COMPUTED_VALUE"""),13.71)</f>
        <v>13.71</v>
      </c>
      <c r="I118" s="19" t="n">
        <f aca="false">IFERROR(H118/H117-1,0)</f>
        <v>-0.00435729847494548</v>
      </c>
      <c r="J118" s="20"/>
      <c r="L118" s="17" t="n">
        <f aca="false">IFERROR(__xludf.dummyfunction("""COMPUTED_VALUE"""),46099.6666666666)</f>
        <v>46099.6666666666</v>
      </c>
      <c r="M118" s="18" t="n">
        <f aca="false">IFERROR(__xludf.dummyfunction("""COMPUTED_VALUE"""),37.13)</f>
        <v>37.13</v>
      </c>
      <c r="N118" s="19" t="n">
        <f aca="false">IFERROR(M118/M117-1,0)</f>
        <v>-0.032569046378322</v>
      </c>
      <c r="V118" s="19" t="n">
        <f aca="false">IFERROR((D118+I118+N118)/3,0)</f>
        <v>-0.0180285803911002</v>
      </c>
      <c r="W118" s="19" t="n">
        <f aca="false">IFERROR(0.3*D118+0.6*I118+0.1*N118,0)</f>
        <v>-0.0110191026188094</v>
      </c>
    </row>
    <row r="119" customFormat="false" ht="12.75" hidden="false" customHeight="true" outlineLevel="0" collapsed="false">
      <c r="B119" s="17" t="n">
        <f aca="false">IFERROR(__xludf.dummyfunction("""COMPUTED_VALUE"""),46100.6666666666)</f>
        <v>46100.6666666666</v>
      </c>
      <c r="C119" s="18" t="n">
        <f aca="false">IFERROR(__xludf.dummyfunction("""COMPUTED_VALUE"""),47.02)</f>
        <v>47.02</v>
      </c>
      <c r="D119" s="19" t="n">
        <f aca="false">IFERROR(C119/C118-1,0)</f>
        <v>-0.0109381573411863</v>
      </c>
      <c r="E119" s="20"/>
      <c r="G119" s="17" t="n">
        <f aca="false">IFERROR(__xludf.dummyfunction("""COMPUTED_VALUE"""),46100.6666666666)</f>
        <v>46100.6666666666</v>
      </c>
      <c r="H119" s="18" t="n">
        <f aca="false">IFERROR(__xludf.dummyfunction("""COMPUTED_VALUE"""),13.74)</f>
        <v>13.74</v>
      </c>
      <c r="I119" s="19" t="n">
        <f aca="false">IFERROR(H119/H118-1,0)</f>
        <v>0.00218818380743979</v>
      </c>
      <c r="J119" s="20"/>
      <c r="L119" s="17" t="n">
        <f aca="false">IFERROR(__xludf.dummyfunction("""COMPUTED_VALUE"""),46100.6666666666)</f>
        <v>46100.6666666666</v>
      </c>
      <c r="M119" s="18" t="n">
        <f aca="false">IFERROR(__xludf.dummyfunction("""COMPUTED_VALUE"""),35.58)</f>
        <v>35.58</v>
      </c>
      <c r="N119" s="19" t="n">
        <f aca="false">IFERROR(M119/M118-1,0)</f>
        <v>-0.0417452194990575</v>
      </c>
      <c r="V119" s="19" t="n">
        <f aca="false">IFERROR((D119+I119+N119)/3,0)</f>
        <v>-0.0168317310109347</v>
      </c>
      <c r="W119" s="19" t="n">
        <f aca="false">IFERROR(0.3*D119+0.6*I119+0.1*N119,0)</f>
        <v>-0.00614305886779777</v>
      </c>
    </row>
    <row r="120" customFormat="false" ht="12.75" hidden="false" customHeight="true" outlineLevel="0" collapsed="false">
      <c r="B120" s="17" t="n">
        <f aca="false">IFERROR(__xludf.dummyfunction("""COMPUTED_VALUE"""),46101.6666666666)</f>
        <v>46101.6666666666</v>
      </c>
      <c r="C120" s="18" t="n">
        <f aca="false">IFERROR(__xludf.dummyfunction("""COMPUTED_VALUE"""),46.23)</f>
        <v>46.23</v>
      </c>
      <c r="D120" s="19" t="n">
        <f aca="false">IFERROR(C120/C119-1,0)</f>
        <v>-0.0168013611229265</v>
      </c>
      <c r="E120" s="20"/>
      <c r="G120" s="17" t="n">
        <f aca="false">IFERROR(__xludf.dummyfunction("""COMPUTED_VALUE"""),46101.6666666666)</f>
        <v>46101.6666666666</v>
      </c>
      <c r="H120" s="18" t="n">
        <f aca="false">IFERROR(__xludf.dummyfunction("""COMPUTED_VALUE"""),13.61)</f>
        <v>13.61</v>
      </c>
      <c r="I120" s="19" t="n">
        <f aca="false">IFERROR(H120/H119-1,0)</f>
        <v>-0.00946142649199422</v>
      </c>
      <c r="J120" s="20"/>
      <c r="L120" s="17" t="n">
        <f aca="false">IFERROR(__xludf.dummyfunction("""COMPUTED_VALUE"""),46101.6666666666)</f>
        <v>46101.6666666666</v>
      </c>
      <c r="M120" s="18" t="n">
        <f aca="false">IFERROR(__xludf.dummyfunction("""COMPUTED_VALUE"""),34.55)</f>
        <v>34.55</v>
      </c>
      <c r="N120" s="19" t="n">
        <f aca="false">IFERROR(M120/M119-1,0)</f>
        <v>-0.0289488476672288</v>
      </c>
      <c r="V120" s="19" t="n">
        <f aca="false">IFERROR((D120+I120+N120)/3,0)</f>
        <v>-0.0184038784273832</v>
      </c>
      <c r="W120" s="19" t="n">
        <f aca="false">IFERROR(0.3*D120+0.6*I120+0.1*N120,0)</f>
        <v>-0.0136121489987974</v>
      </c>
    </row>
    <row r="121" customFormat="false" ht="12.75" hidden="false" customHeight="true" outlineLevel="0" collapsed="false">
      <c r="B121" s="17" t="n">
        <f aca="false">IFERROR(__xludf.dummyfunction("""COMPUTED_VALUE"""),46104.6666666666)</f>
        <v>46104.6666666666</v>
      </c>
      <c r="C121" s="18" t="n">
        <f aca="false">IFERROR(__xludf.dummyfunction("""COMPUTED_VALUE"""),47.05)</f>
        <v>47.05</v>
      </c>
      <c r="D121" s="19" t="n">
        <f aca="false">IFERROR(C121/C120-1,0)</f>
        <v>0.0177373999567381</v>
      </c>
      <c r="E121" s="20"/>
      <c r="G121" s="17" t="n">
        <f aca="false">IFERROR(__xludf.dummyfunction("""COMPUTED_VALUE"""),46104.6666666666)</f>
        <v>46104.6666666666</v>
      </c>
      <c r="H121" s="18" t="n">
        <f aca="false">IFERROR(__xludf.dummyfunction("""COMPUTED_VALUE"""),13.64)</f>
        <v>13.64</v>
      </c>
      <c r="I121" s="19" t="n">
        <f aca="false">IFERROR(H121/H120-1,0)</f>
        <v>0.00220426157237341</v>
      </c>
      <c r="J121" s="20"/>
      <c r="L121" s="17" t="n">
        <f aca="false">IFERROR(__xludf.dummyfunction("""COMPUTED_VALUE"""),46104.6666666666)</f>
        <v>46104.6666666666</v>
      </c>
      <c r="M121" s="18" t="n">
        <f aca="false">IFERROR(__xludf.dummyfunction("""COMPUTED_VALUE"""),33.69)</f>
        <v>33.69</v>
      </c>
      <c r="N121" s="19" t="n">
        <f aca="false">IFERROR(M121/M120-1,0)</f>
        <v>-0.024891461649783</v>
      </c>
      <c r="V121" s="19" t="n">
        <f aca="false">IFERROR((D121+I121+N121)/3,0)</f>
        <v>-0.00164993337355716</v>
      </c>
      <c r="W121" s="19" t="n">
        <f aca="false">IFERROR(0.3*D121+0.6*I121+0.1*N121,0)</f>
        <v>0.00415463076546717</v>
      </c>
    </row>
    <row r="122" customFormat="false" ht="12.75" hidden="false" customHeight="true" outlineLevel="0" collapsed="false">
      <c r="B122" s="17" t="n">
        <f aca="false">IFERROR(__xludf.dummyfunction("""COMPUTED_VALUE"""),46105.6666666666)</f>
        <v>46105.6666666666</v>
      </c>
      <c r="C122" s="18" t="n">
        <f aca="false">IFERROR(__xludf.dummyfunction("""COMPUTED_VALUE"""),47.07)</f>
        <v>47.07</v>
      </c>
      <c r="D122" s="19" t="n">
        <f aca="false">IFERROR(C122/C121-1,0)</f>
        <v>0.00042507970244432</v>
      </c>
      <c r="E122" s="20"/>
      <c r="G122" s="17" t="n">
        <f aca="false">IFERROR(__xludf.dummyfunction("""COMPUTED_VALUE"""),46105.6666666666)</f>
        <v>46105.6666666666</v>
      </c>
      <c r="H122" s="18" t="n">
        <f aca="false">IFERROR(__xludf.dummyfunction("""COMPUTED_VALUE"""),13.61)</f>
        <v>13.61</v>
      </c>
      <c r="I122" s="19" t="n">
        <f aca="false">IFERROR(H122/H121-1,0)</f>
        <v>-0.00219941348973618</v>
      </c>
      <c r="J122" s="20"/>
      <c r="L122" s="17" t="n">
        <f aca="false">IFERROR(__xludf.dummyfunction("""COMPUTED_VALUE"""),46105.6666666666)</f>
        <v>46105.6666666666</v>
      </c>
      <c r="M122" s="18" t="n">
        <f aca="false">IFERROR(__xludf.dummyfunction("""COMPUTED_VALUE"""),33.68)</f>
        <v>33.68</v>
      </c>
      <c r="N122" s="19" t="n">
        <f aca="false">IFERROR(M122/M121-1,0)</f>
        <v>-0.000296823983377825</v>
      </c>
      <c r="V122" s="19" t="n">
        <f aca="false">IFERROR((D122+I122+N122)/3,0)</f>
        <v>-0.000690385923556562</v>
      </c>
      <c r="W122" s="19" t="n">
        <f aca="false">IFERROR(0.3*D122+0.6*I122+0.1*N122,0)</f>
        <v>-0.00122180658144619</v>
      </c>
    </row>
    <row r="123" customFormat="false" ht="12.75" hidden="false" customHeight="true" outlineLevel="0" collapsed="false">
      <c r="B123" s="17" t="n">
        <f aca="false">IFERROR(__xludf.dummyfunction("""COMPUTED_VALUE"""),46106.6666666666)</f>
        <v>46106.6666666666</v>
      </c>
      <c r="C123" s="18" t="n">
        <f aca="false">IFERROR(__xludf.dummyfunction("""COMPUTED_VALUE"""),47.67)</f>
        <v>47.67</v>
      </c>
      <c r="D123" s="19" t="n">
        <f aca="false">IFERROR(C123/C122-1,0)</f>
        <v>0.012746972594009</v>
      </c>
      <c r="E123" s="20"/>
      <c r="G123" s="17" t="n">
        <f aca="false">IFERROR(__xludf.dummyfunction("""COMPUTED_VALUE"""),46106.6666666666)</f>
        <v>46106.6666666666</v>
      </c>
      <c r="H123" s="18" t="n">
        <f aca="false">IFERROR(__xludf.dummyfunction("""COMPUTED_VALUE"""),13.72)</f>
        <v>13.72</v>
      </c>
      <c r="I123" s="19" t="n">
        <f aca="false">IFERROR(H123/H122-1,0)</f>
        <v>0.0080822924320354</v>
      </c>
      <c r="J123" s="20"/>
      <c r="L123" s="17" t="n">
        <f aca="false">IFERROR(__xludf.dummyfunction("""COMPUTED_VALUE"""),46106.6666666666)</f>
        <v>46106.6666666666</v>
      </c>
      <c r="M123" s="18" t="n">
        <f aca="false">IFERROR(__xludf.dummyfunction("""COMPUTED_VALUE"""),34.77)</f>
        <v>34.77</v>
      </c>
      <c r="N123" s="19" t="n">
        <f aca="false">IFERROR(M123/M122-1,0)</f>
        <v>0.0323634204275536</v>
      </c>
      <c r="V123" s="19" t="n">
        <f aca="false">IFERROR((D123+I123+N123)/3,0)</f>
        <v>0.0177308951511993</v>
      </c>
      <c r="W123" s="19" t="n">
        <f aca="false">IFERROR(0.3*D123+0.6*I123+0.1*N123,0)</f>
        <v>0.0119098092801793</v>
      </c>
    </row>
    <row r="124" customFormat="false" ht="12.75" hidden="false" customHeight="true" outlineLevel="0" collapsed="false">
      <c r="B124" s="17" t="n">
        <f aca="false">IFERROR(__xludf.dummyfunction("""COMPUTED_VALUE"""),46107.6666666666)</f>
        <v>46107.6666666666</v>
      </c>
      <c r="C124" s="18" t="n">
        <f aca="false">IFERROR(__xludf.dummyfunction("""COMPUTED_VALUE"""),47.05)</f>
        <v>47.05</v>
      </c>
      <c r="D124" s="19" t="n">
        <f aca="false">IFERROR(C124/C123-1,0)</f>
        <v>-0.0130060834906651</v>
      </c>
      <c r="E124" s="20"/>
      <c r="G124" s="17" t="n">
        <f aca="false">IFERROR(__xludf.dummyfunction("""COMPUTED_VALUE"""),46107.6666666666)</f>
        <v>46107.6666666666</v>
      </c>
      <c r="H124" s="18" t="n">
        <f aca="false">IFERROR(__xludf.dummyfunction("""COMPUTED_VALUE"""),13.65)</f>
        <v>13.65</v>
      </c>
      <c r="I124" s="19" t="n">
        <f aca="false">IFERROR(H124/H123-1,0)</f>
        <v>-0.00510204081632659</v>
      </c>
      <c r="J124" s="20"/>
      <c r="L124" s="17" t="n">
        <f aca="false">IFERROR(__xludf.dummyfunction("""COMPUTED_VALUE"""),46107.6666666666)</f>
        <v>46107.6666666666</v>
      </c>
      <c r="M124" s="18" t="n">
        <f aca="false">IFERROR(__xludf.dummyfunction("""COMPUTED_VALUE"""),33.44)</f>
        <v>33.44</v>
      </c>
      <c r="N124" s="19" t="n">
        <f aca="false">IFERROR(M124/M123-1,0)</f>
        <v>-0.0382513661202187</v>
      </c>
      <c r="V124" s="19" t="n">
        <f aca="false">IFERROR((D124+I124+N124)/3,0)</f>
        <v>-0.0187864968090701</v>
      </c>
      <c r="W124" s="19" t="n">
        <f aca="false">IFERROR(0.3*D124+0.6*I124+0.1*N124,0)</f>
        <v>-0.0107881861490174</v>
      </c>
    </row>
    <row r="125" customFormat="false" ht="12.75" hidden="false" customHeight="true" outlineLevel="0" collapsed="false">
      <c r="B125" s="17" t="n">
        <f aca="false">IFERROR(__xludf.dummyfunction("""COMPUTED_VALUE"""),46108.6666666666)</f>
        <v>46108.6666666666</v>
      </c>
      <c r="C125" s="18" t="n">
        <f aca="false">IFERROR(__xludf.dummyfunction("""COMPUTED_VALUE"""),47.04)</f>
        <v>47.04</v>
      </c>
      <c r="D125" s="19" t="n">
        <f aca="false">IFERROR(C125/C124-1,0)</f>
        <v>-0.000212539851222049</v>
      </c>
      <c r="E125" s="20"/>
      <c r="G125" s="17" t="n">
        <f aca="false">IFERROR(__xludf.dummyfunction("""COMPUTED_VALUE"""),46108.6666666666)</f>
        <v>46108.6666666666</v>
      </c>
      <c r="H125" s="18" t="n">
        <f aca="false">IFERROR(__xludf.dummyfunction("""COMPUTED_VALUE"""),13.63)</f>
        <v>13.63</v>
      </c>
      <c r="I125" s="19" t="n">
        <f aca="false">IFERROR(H125/H124-1,0)</f>
        <v>-0.00146520146520146</v>
      </c>
      <c r="J125" s="20"/>
      <c r="L125" s="17" t="n">
        <f aca="false">IFERROR(__xludf.dummyfunction("""COMPUTED_VALUE"""),46108.6666666666)</f>
        <v>46108.6666666666</v>
      </c>
      <c r="M125" s="18" t="n">
        <f aca="false">IFERROR(__xludf.dummyfunction("""COMPUTED_VALUE"""),34.62)</f>
        <v>34.62</v>
      </c>
      <c r="N125" s="19" t="n">
        <f aca="false">IFERROR(M125/M124-1,0)</f>
        <v>0.0352870813397128</v>
      </c>
      <c r="V125" s="19" t="n">
        <f aca="false">IFERROR((D125+I125+N125)/3,0)</f>
        <v>0.0112031133410964</v>
      </c>
      <c r="W125" s="19" t="n">
        <f aca="false">IFERROR(0.3*D125+0.6*I125+0.1*N125,0)</f>
        <v>0.00258582529948379</v>
      </c>
    </row>
    <row r="126" customFormat="false" ht="12.75" hidden="false" customHeight="true" outlineLevel="0" collapsed="false">
      <c r="B126" s="17" t="n">
        <f aca="false">IFERROR(__xludf.dummyfunction("""COMPUTED_VALUE"""),46111.6666666666)</f>
        <v>46111.6666666666</v>
      </c>
      <c r="C126" s="18" t="n">
        <f aca="false">IFERROR(__xludf.dummyfunction("""COMPUTED_VALUE"""),47.07)</f>
        <v>47.07</v>
      </c>
      <c r="D126" s="19" t="n">
        <f aca="false">IFERROR(C126/C125-1,0)</f>
        <v>0.000637755102040893</v>
      </c>
      <c r="E126" s="20"/>
      <c r="G126" s="17" t="n">
        <f aca="false">IFERROR(__xludf.dummyfunction("""COMPUTED_VALUE"""),46111.6666666666)</f>
        <v>46111.6666666666</v>
      </c>
      <c r="H126" s="18" t="n">
        <f aca="false">IFERROR(__xludf.dummyfunction("""COMPUTED_VALUE"""),13.65)</f>
        <v>13.65</v>
      </c>
      <c r="I126" s="19" t="n">
        <f aca="false">IFERROR(H126/H125-1,0)</f>
        <v>0.00146735143066756</v>
      </c>
      <c r="J126" s="20"/>
      <c r="L126" s="17" t="n">
        <f aca="false">IFERROR(__xludf.dummyfunction("""COMPUTED_VALUE"""),46111.6666666666)</f>
        <v>46111.6666666666</v>
      </c>
      <c r="M126" s="18" t="n">
        <f aca="false">IFERROR(__xludf.dummyfunction("""COMPUTED_VALUE"""),34.55)</f>
        <v>34.55</v>
      </c>
      <c r="N126" s="19" t="n">
        <f aca="false">IFERROR(M126/M125-1,0)</f>
        <v>-0.00202195262853844</v>
      </c>
      <c r="V126" s="19" t="n">
        <f aca="false">IFERROR((D126+I126+N126)/3,0)</f>
        <v>2.7717968056673E-005</v>
      </c>
      <c r="W126" s="19" t="n">
        <f aca="false">IFERROR(0.3*D126+0.6*I126+0.1*N126,0)</f>
        <v>0.000869542126158962</v>
      </c>
    </row>
    <row r="127" customFormat="false" ht="12.75" hidden="false" customHeight="true" outlineLevel="0" collapsed="false">
      <c r="B127" s="17" t="n">
        <f aca="false">IFERROR(__xludf.dummyfunction("""COMPUTED_VALUE"""),46112.6666666666)</f>
        <v>46112.6666666666</v>
      </c>
      <c r="C127" s="18" t="n">
        <f aca="false">IFERROR(__xludf.dummyfunction("""COMPUTED_VALUE"""),48.15)</f>
        <v>48.15</v>
      </c>
      <c r="D127" s="19" t="n">
        <f aca="false">IFERROR(C127/C126-1,0)</f>
        <v>0.0229445506692161</v>
      </c>
      <c r="E127" s="20"/>
      <c r="G127" s="17" t="n">
        <f aca="false">IFERROR(__xludf.dummyfunction("""COMPUTED_VALUE"""),46112.6666666666)</f>
        <v>46112.6666666666</v>
      </c>
      <c r="H127" s="18" t="n">
        <f aca="false">IFERROR(__xludf.dummyfunction("""COMPUTED_VALUE"""),13.67)</f>
        <v>13.67</v>
      </c>
      <c r="I127" s="19" t="n">
        <f aca="false">IFERROR(H127/H126-1,0)</f>
        <v>0.00146520146520146</v>
      </c>
      <c r="J127" s="20"/>
      <c r="L127" s="17" t="n">
        <f aca="false">IFERROR(__xludf.dummyfunction("""COMPUTED_VALUE"""),46112.6666666666)</f>
        <v>46112.6666666666</v>
      </c>
      <c r="M127" s="18" t="n">
        <f aca="false">IFERROR(__xludf.dummyfunction("""COMPUTED_VALUE"""),35.9)</f>
        <v>35.9</v>
      </c>
      <c r="N127" s="19" t="n">
        <f aca="false">IFERROR(M127/M126-1,0)</f>
        <v>0.0390738060781477</v>
      </c>
      <c r="V127" s="19" t="n">
        <f aca="false">IFERROR((D127+I127+N127)/3,0)</f>
        <v>0.0211611860708551</v>
      </c>
      <c r="W127" s="19" t="n">
        <f aca="false">IFERROR(0.3*D127+0.6*I127+0.1*N127,0)</f>
        <v>0.0116698666877005</v>
      </c>
    </row>
    <row r="128" customFormat="false" ht="12.75" hidden="false" customHeight="true" outlineLevel="0" collapsed="false">
      <c r="B128" s="17" t="n">
        <f aca="false">IFERROR(__xludf.dummyfunction("""COMPUTED_VALUE"""),46113.6666666666)</f>
        <v>46113.6666666666</v>
      </c>
      <c r="C128" s="18" t="n">
        <f aca="false">IFERROR(__xludf.dummyfunction("""COMPUTED_VALUE"""),48.38)</f>
        <v>48.38</v>
      </c>
      <c r="D128" s="19" t="n">
        <f aca="false">IFERROR(C128/C127-1,0)</f>
        <v>0.00477673935617862</v>
      </c>
      <c r="E128" s="20"/>
      <c r="G128" s="17" t="n">
        <f aca="false">IFERROR(__xludf.dummyfunction("""COMPUTED_VALUE"""),46113.6666666666)</f>
        <v>46113.6666666666</v>
      </c>
      <c r="H128" s="18" t="n">
        <f aca="false">IFERROR(__xludf.dummyfunction("""COMPUTED_VALUE"""),13.65)</f>
        <v>13.65</v>
      </c>
      <c r="I128" s="19" t="n">
        <f aca="false">IFERROR(H128/H127-1,0)</f>
        <v>-0.00146305779078271</v>
      </c>
      <c r="J128" s="20"/>
      <c r="L128" s="17" t="n">
        <f aca="false">IFERROR(__xludf.dummyfunction("""COMPUTED_VALUE"""),46113.6666666666)</f>
        <v>46113.6666666666</v>
      </c>
      <c r="M128" s="18" t="n">
        <f aca="false">IFERROR(__xludf.dummyfunction("""COMPUTED_VALUE"""),36.5)</f>
        <v>36.5</v>
      </c>
      <c r="N128" s="19" t="n">
        <f aca="false">IFERROR(M128/M127-1,0)</f>
        <v>0.0167130919220055</v>
      </c>
      <c r="V128" s="19" t="n">
        <f aca="false">IFERROR((D128+I128+N128)/3,0)</f>
        <v>0.00667559116246715</v>
      </c>
      <c r="W128" s="19" t="n">
        <f aca="false">IFERROR(0.3*D128+0.6*I128+0.1*N128,0)</f>
        <v>0.00222649632458452</v>
      </c>
    </row>
    <row r="129" customFormat="false" ht="12.75" hidden="false" customHeight="true" outlineLevel="0" collapsed="false">
      <c r="B129" s="17" t="n">
        <f aca="false">IFERROR(__xludf.dummyfunction("""COMPUTED_VALUE"""),46114.6666666666)</f>
        <v>46114.6666666666</v>
      </c>
      <c r="C129" s="18" t="n">
        <f aca="false">IFERROR(__xludf.dummyfunction("""COMPUTED_VALUE"""),48.63)</f>
        <v>48.63</v>
      </c>
      <c r="D129" s="19" t="n">
        <f aca="false">IFERROR(C129/C128-1,0)</f>
        <v>0.00516742455560149</v>
      </c>
      <c r="E129" s="20"/>
      <c r="G129" s="17" t="n">
        <f aca="false">IFERROR(__xludf.dummyfunction("""COMPUTED_VALUE"""),46114.6666666666)</f>
        <v>46114.6666666666</v>
      </c>
      <c r="H129" s="18" t="n">
        <f aca="false">IFERROR(__xludf.dummyfunction("""COMPUTED_VALUE"""),13.68)</f>
        <v>13.68</v>
      </c>
      <c r="I129" s="19" t="n">
        <f aca="false">IFERROR(H129/H128-1,0)</f>
        <v>0.00219780219780219</v>
      </c>
      <c r="J129" s="20"/>
      <c r="L129" s="17" t="n">
        <f aca="false">IFERROR(__xludf.dummyfunction("""COMPUTED_VALUE"""),46114.6666666666)</f>
        <v>46114.6666666666</v>
      </c>
      <c r="M129" s="18" t="n">
        <f aca="false">IFERROR(__xludf.dummyfunction("""COMPUTED_VALUE"""),35.76)</f>
        <v>35.76</v>
      </c>
      <c r="N129" s="19" t="n">
        <f aca="false">IFERROR(M129/M128-1,0)</f>
        <v>-0.0202739726027398</v>
      </c>
      <c r="V129" s="19" t="n">
        <f aca="false">IFERROR((D129+I129+N129)/3,0)</f>
        <v>-0.00430291528311203</v>
      </c>
      <c r="W129" s="19" t="n">
        <f aca="false">IFERROR(0.3*D129+0.6*I129+0.1*N129,0)</f>
        <v>0.000841511425087782</v>
      </c>
    </row>
    <row r="130" customFormat="false" ht="12.75" hidden="false" customHeight="true" outlineLevel="0" collapsed="false">
      <c r="B130" s="17" t="n">
        <f aca="false">IFERROR(__xludf.dummyfunction("""COMPUTED_VALUE"""),46118.6666666666)</f>
        <v>46118.6666666666</v>
      </c>
      <c r="C130" s="18" t="n">
        <f aca="false">IFERROR(__xludf.dummyfunction("""COMPUTED_VALUE"""),48.74)</f>
        <v>48.74</v>
      </c>
      <c r="D130" s="19" t="n">
        <f aca="false">IFERROR(C130/C129-1,0)</f>
        <v>0.00226197820275553</v>
      </c>
      <c r="E130" s="20"/>
      <c r="G130" s="17" t="n">
        <f aca="false">IFERROR(__xludf.dummyfunction("""COMPUTED_VALUE"""),46118.6666666666)</f>
        <v>46118.6666666666</v>
      </c>
      <c r="H130" s="18" t="n">
        <f aca="false">IFERROR(__xludf.dummyfunction("""COMPUTED_VALUE"""),13.71)</f>
        <v>13.71</v>
      </c>
      <c r="I130" s="19" t="n">
        <f aca="false">IFERROR(H130/H129-1,0)</f>
        <v>0.00219298245614041</v>
      </c>
      <c r="J130" s="20"/>
      <c r="L130" s="17" t="n">
        <f aca="false">IFERROR(__xludf.dummyfunction("""COMPUTED_VALUE"""),46118.6666666666)</f>
        <v>46118.6666666666</v>
      </c>
      <c r="M130" s="18" t="n">
        <f aca="false">IFERROR(__xludf.dummyfunction("""COMPUTED_VALUE"""),35.7)</f>
        <v>35.7</v>
      </c>
      <c r="N130" s="19" t="n">
        <f aca="false">IFERROR(M130/M129-1,0)</f>
        <v>-0.0016778523489932</v>
      </c>
      <c r="V130" s="19" t="n">
        <f aca="false">IFERROR((D130+I130+N130)/3,0)</f>
        <v>0.000925702769967581</v>
      </c>
      <c r="W130" s="19" t="n">
        <f aca="false">IFERROR(0.3*D130+0.6*I130+0.1*N130,0)</f>
        <v>0.00182659769961159</v>
      </c>
    </row>
    <row r="131" customFormat="false" ht="12.75" hidden="false" customHeight="true" outlineLevel="0" collapsed="false">
      <c r="B131" s="17" t="n">
        <f aca="false">IFERROR(__xludf.dummyfunction("""COMPUTED_VALUE"""),46119.6666666666)</f>
        <v>46119.6666666666</v>
      </c>
      <c r="C131" s="18" t="n">
        <f aca="false">IFERROR(__xludf.dummyfunction("""COMPUTED_VALUE"""),48.85)</f>
        <v>48.85</v>
      </c>
      <c r="D131" s="19" t="n">
        <f aca="false">IFERROR(C131/C130-1,0)</f>
        <v>0.00225687320475987</v>
      </c>
      <c r="E131" s="20"/>
      <c r="G131" s="17" t="n">
        <f aca="false">IFERROR(__xludf.dummyfunction("""COMPUTED_VALUE"""),46119.6666666666)</f>
        <v>46119.6666666666</v>
      </c>
      <c r="H131" s="18" t="n">
        <f aca="false">IFERROR(__xludf.dummyfunction("""COMPUTED_VALUE"""),13.66)</f>
        <v>13.66</v>
      </c>
      <c r="I131" s="19" t="n">
        <f aca="false">IFERROR(H131/H130-1,0)</f>
        <v>-0.0036469730123998</v>
      </c>
      <c r="J131" s="20"/>
      <c r="L131" s="17" t="n">
        <f aca="false">IFERROR(__xludf.dummyfunction("""COMPUTED_VALUE"""),46119.6666666666)</f>
        <v>46119.6666666666</v>
      </c>
      <c r="M131" s="18" t="n">
        <f aca="false">IFERROR(__xludf.dummyfunction("""COMPUTED_VALUE"""),36)</f>
        <v>36</v>
      </c>
      <c r="N131" s="19" t="n">
        <f aca="false">IFERROR(M131/M130-1,0)</f>
        <v>0.00840336134453779</v>
      </c>
      <c r="V131" s="19" t="n">
        <f aca="false">IFERROR((D131+I131+N131)/3,0)</f>
        <v>0.00233775384563262</v>
      </c>
      <c r="W131" s="19" t="n">
        <f aca="false">IFERROR(0.3*D131+0.6*I131+0.1*N131,0)</f>
        <v>-0.000670785711558142</v>
      </c>
    </row>
    <row r="132" customFormat="false" ht="12.75" hidden="false" customHeight="true" outlineLevel="0" collapsed="false">
      <c r="B132" s="17" t="n">
        <f aca="false">IFERROR(__xludf.dummyfunction("""COMPUTED_VALUE"""),46120.6666666666)</f>
        <v>46120.6666666666</v>
      </c>
      <c r="C132" s="18" t="n">
        <f aca="false">IFERROR(__xludf.dummyfunction("""COMPUTED_VALUE"""),49.41)</f>
        <v>49.41</v>
      </c>
      <c r="D132" s="19" t="n">
        <f aca="false">IFERROR(C132/C131-1,0)</f>
        <v>0.0114636642784032</v>
      </c>
      <c r="E132" s="20"/>
      <c r="G132" s="17" t="n">
        <f aca="false">IFERROR(__xludf.dummyfunction("""COMPUTED_VALUE"""),46120.6666666666)</f>
        <v>46120.6666666666</v>
      </c>
      <c r="H132" s="18" t="n">
        <f aca="false">IFERROR(__xludf.dummyfunction("""COMPUTED_VALUE"""),13.74)</f>
        <v>13.74</v>
      </c>
      <c r="I132" s="19" t="n">
        <f aca="false">IFERROR(H132/H131-1,0)</f>
        <v>0.00585651537335297</v>
      </c>
      <c r="J132" s="20"/>
      <c r="L132" s="17" t="n">
        <f aca="false">IFERROR(__xludf.dummyfunction("""COMPUTED_VALUE"""),46120.6666666666)</f>
        <v>46120.6666666666</v>
      </c>
      <c r="M132" s="18" t="n">
        <f aca="false">IFERROR(__xludf.dummyfunction("""COMPUTED_VALUE"""),36.21)</f>
        <v>36.21</v>
      </c>
      <c r="N132" s="19" t="n">
        <f aca="false">IFERROR(M132/M131-1,0)</f>
        <v>0.00583333333333336</v>
      </c>
      <c r="V132" s="19" t="n">
        <f aca="false">IFERROR((D132+I132+N132)/3,0)</f>
        <v>0.0077178376616965</v>
      </c>
      <c r="W132" s="19" t="n">
        <f aca="false">IFERROR(0.3*D132+0.6*I132+0.1*N132,0)</f>
        <v>0.00753634184086607</v>
      </c>
    </row>
    <row r="133" customFormat="false" ht="12.75" hidden="false" customHeight="true" outlineLevel="0" collapsed="false">
      <c r="B133" s="17" t="n">
        <f aca="false">IFERROR(__xludf.dummyfunction("""COMPUTED_VALUE"""),46121.6666666666)</f>
        <v>46121.6666666666</v>
      </c>
      <c r="C133" s="18" t="n">
        <f aca="false">IFERROR(__xludf.dummyfunction("""COMPUTED_VALUE"""),49.16)</f>
        <v>49.16</v>
      </c>
      <c r="D133" s="19" t="n">
        <f aca="false">IFERROR(C133/C132-1,0)</f>
        <v>-0.00505970451325644</v>
      </c>
      <c r="E133" s="20"/>
      <c r="G133" s="17" t="n">
        <f aca="false">IFERROR(__xludf.dummyfunction("""COMPUTED_VALUE"""),46121.6666666666)</f>
        <v>46121.6666666666</v>
      </c>
      <c r="H133" s="18" t="n">
        <f aca="false">IFERROR(__xludf.dummyfunction("""COMPUTED_VALUE"""),13.73)</f>
        <v>13.73</v>
      </c>
      <c r="I133" s="19" t="n">
        <f aca="false">IFERROR(H133/H132-1,0)</f>
        <v>-0.000727802037845726</v>
      </c>
      <c r="J133" s="20"/>
      <c r="L133" s="17" t="n">
        <f aca="false">IFERROR(__xludf.dummyfunction("""COMPUTED_VALUE"""),46121.6666666666)</f>
        <v>46121.6666666666</v>
      </c>
      <c r="M133" s="18" t="n">
        <f aca="false">IFERROR(__xludf.dummyfunction("""COMPUTED_VALUE"""),36.53)</f>
        <v>36.53</v>
      </c>
      <c r="N133" s="19" t="n">
        <f aca="false">IFERROR(M133/M132-1,0)</f>
        <v>0.00883733775200213</v>
      </c>
      <c r="V133" s="19" t="n">
        <f aca="false">IFERROR((D133+I133+N133)/3,0)</f>
        <v>0.00101661040029999</v>
      </c>
      <c r="W133" s="19" t="n">
        <f aca="false">IFERROR(0.3*D133+0.6*I133+0.1*N133,0)</f>
        <v>-0.00107085880148415</v>
      </c>
    </row>
    <row r="134" customFormat="false" ht="12.75" hidden="false" customHeight="true" outlineLevel="0" collapsed="false">
      <c r="B134" s="17" t="n">
        <f aca="false">IFERROR(__xludf.dummyfunction("""COMPUTED_VALUE"""),46122.6666666666)</f>
        <v>46122.6666666666</v>
      </c>
      <c r="C134" s="18" t="n">
        <f aca="false">IFERROR(__xludf.dummyfunction("""COMPUTED_VALUE"""),49.48)</f>
        <v>49.48</v>
      </c>
      <c r="D134" s="19" t="n">
        <f aca="false">IFERROR(C134/C133-1,0)</f>
        <v>0.00650935720097645</v>
      </c>
      <c r="E134" s="20"/>
      <c r="G134" s="17" t="n">
        <f aca="false">IFERROR(__xludf.dummyfunction("""COMPUTED_VALUE"""),46122.6666666666)</f>
        <v>46122.6666666666</v>
      </c>
      <c r="H134" s="18" t="n">
        <f aca="false">IFERROR(__xludf.dummyfunction("""COMPUTED_VALUE"""),13.71)</f>
        <v>13.71</v>
      </c>
      <c r="I134" s="19" t="n">
        <f aca="false">IFERROR(H134/H133-1,0)</f>
        <v>-0.0014566642388929</v>
      </c>
      <c r="J134" s="20"/>
      <c r="L134" s="17" t="n">
        <f aca="false">IFERROR(__xludf.dummyfunction("""COMPUTED_VALUE"""),46122.6666666666)</f>
        <v>46122.6666666666</v>
      </c>
      <c r="M134" s="18" t="n">
        <f aca="false">IFERROR(__xludf.dummyfunction("""COMPUTED_VALUE"""),36.48)</f>
        <v>36.48</v>
      </c>
      <c r="N134" s="19" t="n">
        <f aca="false">IFERROR(M134/M133-1,0)</f>
        <v>-0.00136873802354243</v>
      </c>
      <c r="V134" s="19" t="n">
        <f aca="false">IFERROR((D134+I134+N134)/3,0)</f>
        <v>0.00122798497951371</v>
      </c>
      <c r="W134" s="19" t="n">
        <f aca="false">IFERROR(0.3*D134+0.6*I134+0.1*N134,0)</f>
        <v>0.000941934814602952</v>
      </c>
    </row>
    <row r="135" customFormat="false" ht="12.75" hidden="false" customHeight="true" outlineLevel="0" collapsed="false">
      <c r="B135" s="17" t="n">
        <f aca="false">IFERROR(__xludf.dummyfunction("""COMPUTED_VALUE"""),46125.6666666666)</f>
        <v>46125.6666666666</v>
      </c>
      <c r="C135" s="18" t="n">
        <f aca="false">IFERROR(__xludf.dummyfunction("""COMPUTED_VALUE"""),49.75)</f>
        <v>49.75</v>
      </c>
      <c r="D135" s="19" t="n">
        <f aca="false">IFERROR(C135/C134-1,0)</f>
        <v>0.0054567502021019</v>
      </c>
      <c r="E135" s="20"/>
      <c r="G135" s="17" t="n">
        <f aca="false">IFERROR(__xludf.dummyfunction("""COMPUTED_VALUE"""),46125.6666666666)</f>
        <v>46125.6666666666</v>
      </c>
      <c r="H135" s="18" t="n">
        <f aca="false">IFERROR(__xludf.dummyfunction("""COMPUTED_VALUE"""),13.72)</f>
        <v>13.72</v>
      </c>
      <c r="I135" s="19" t="n">
        <f aca="false">IFERROR(H135/H134-1,0)</f>
        <v>0.000729394602480005</v>
      </c>
      <c r="J135" s="20"/>
      <c r="L135" s="17" t="n">
        <f aca="false">IFERROR(__xludf.dummyfunction("""COMPUTED_VALUE"""),46125.6666666666)</f>
        <v>46125.6666666666</v>
      </c>
      <c r="M135" s="18" t="n">
        <f aca="false">IFERROR(__xludf.dummyfunction("""COMPUTED_VALUE"""),36.33)</f>
        <v>36.33</v>
      </c>
      <c r="N135" s="19" t="n">
        <f aca="false">IFERROR(M135/M134-1,0)</f>
        <v>-0.00411184210526316</v>
      </c>
      <c r="V135" s="19" t="n">
        <f aca="false">IFERROR((D135+I135+N135)/3,0)</f>
        <v>0.000691434233106247</v>
      </c>
      <c r="W135" s="19" t="n">
        <f aca="false">IFERROR(0.3*D135+0.6*I135+0.1*N135,0)</f>
        <v>0.00166347761159226</v>
      </c>
    </row>
    <row r="136" customFormat="false" ht="12.75" hidden="false" customHeight="true" outlineLevel="0" collapsed="false">
      <c r="B136" s="17" t="n">
        <f aca="false">IFERROR(__xludf.dummyfunction("""COMPUTED_VALUE"""),46126.6666666666)</f>
        <v>46126.6666666666</v>
      </c>
      <c r="C136" s="18" t="n">
        <f aca="false">IFERROR(__xludf.dummyfunction("""COMPUTED_VALUE"""),50.05)</f>
        <v>50.05</v>
      </c>
      <c r="D136" s="19" t="n">
        <f aca="false">IFERROR(C136/C135-1,0)</f>
        <v>0.00603015075376878</v>
      </c>
      <c r="E136" s="20"/>
      <c r="G136" s="17" t="n">
        <f aca="false">IFERROR(__xludf.dummyfunction("""COMPUTED_VALUE"""),46126.6666666666)</f>
        <v>46126.6666666666</v>
      </c>
      <c r="H136" s="18" t="n">
        <f aca="false">IFERROR(__xludf.dummyfunction("""COMPUTED_VALUE"""),13.77)</f>
        <v>13.77</v>
      </c>
      <c r="I136" s="19" t="n">
        <f aca="false">IFERROR(H136/H135-1,0)</f>
        <v>0.00364431486880457</v>
      </c>
      <c r="J136" s="20"/>
      <c r="L136" s="17" t="n">
        <f aca="false">IFERROR(__xludf.dummyfunction("""COMPUTED_VALUE"""),46126.6666666666)</f>
        <v>46126.6666666666</v>
      </c>
      <c r="M136" s="18" t="n">
        <f aca="false">IFERROR(__xludf.dummyfunction("""COMPUTED_VALUE"""),37.1)</f>
        <v>37.1</v>
      </c>
      <c r="N136" s="19" t="n">
        <f aca="false">IFERROR(M136/M135-1,0)</f>
        <v>0.0211946050096341</v>
      </c>
      <c r="V136" s="19" t="n">
        <f aca="false">IFERROR((D136+I136+N136)/3,0)</f>
        <v>0.0102896902107358</v>
      </c>
      <c r="W136" s="19" t="n">
        <f aca="false">IFERROR(0.3*D136+0.6*I136+0.1*N136,0)</f>
        <v>0.00611509464837678</v>
      </c>
    </row>
    <row r="137" customFormat="false" ht="12.75" hidden="false" customHeight="true" outlineLevel="0" collapsed="false">
      <c r="B137" s="17" t="n">
        <f aca="false">IFERROR(__xludf.dummyfunction("""COMPUTED_VALUE"""),46127.6666666666)</f>
        <v>46127.6666666666</v>
      </c>
      <c r="C137" s="18" t="n">
        <f aca="false">IFERROR(__xludf.dummyfunction("""COMPUTED_VALUE"""),50.22)</f>
        <v>50.22</v>
      </c>
      <c r="D137" s="19" t="n">
        <f aca="false">IFERROR(C137/C136-1,0)</f>
        <v>0.00339660339660353</v>
      </c>
      <c r="E137" s="20"/>
      <c r="G137" s="17" t="n">
        <f aca="false">IFERROR(__xludf.dummyfunction("""COMPUTED_VALUE"""),46127.6666666666)</f>
        <v>46127.6666666666</v>
      </c>
      <c r="H137" s="18" t="n">
        <f aca="false">IFERROR(__xludf.dummyfunction("""COMPUTED_VALUE"""),13.73)</f>
        <v>13.73</v>
      </c>
      <c r="I137" s="19" t="n">
        <f aca="false">IFERROR(H137/H136-1,0)</f>
        <v>-0.00290486564996362</v>
      </c>
      <c r="J137" s="20"/>
      <c r="L137" s="17" t="n">
        <f aca="false">IFERROR(__xludf.dummyfunction("""COMPUTED_VALUE"""),46127.6666666666)</f>
        <v>46127.6666666666</v>
      </c>
      <c r="M137" s="18" t="n">
        <f aca="false">IFERROR(__xludf.dummyfunction("""COMPUTED_VALUE"""),36.68)</f>
        <v>36.68</v>
      </c>
      <c r="N137" s="19" t="n">
        <f aca="false">IFERROR(M137/M136-1,0)</f>
        <v>-0.0113207547169811</v>
      </c>
      <c r="V137" s="19" t="n">
        <f aca="false">IFERROR((D137+I137+N137)/3,0)</f>
        <v>-0.00360967232344707</v>
      </c>
      <c r="W137" s="19" t="n">
        <f aca="false">IFERROR(0.3*D137+0.6*I137+0.1*N137,0)</f>
        <v>-0.00185601384269523</v>
      </c>
    </row>
    <row r="138" customFormat="false" ht="12.75" hidden="false" customHeight="true" outlineLevel="0" collapsed="false">
      <c r="B138" s="17" t="n">
        <f aca="false">IFERROR(__xludf.dummyfunction("""COMPUTED_VALUE"""),46128.6666666666)</f>
        <v>46128.6666666666</v>
      </c>
      <c r="C138" s="18" t="n">
        <f aca="false">IFERROR(__xludf.dummyfunction("""COMPUTED_VALUE"""),50.07)</f>
        <v>50.07</v>
      </c>
      <c r="D138" s="19" t="n">
        <f aca="false">IFERROR(C138/C137-1,0)</f>
        <v>-0.00298685782556751</v>
      </c>
      <c r="E138" s="20"/>
      <c r="G138" s="17" t="n">
        <f aca="false">IFERROR(__xludf.dummyfunction("""COMPUTED_VALUE"""),46128.6666666666)</f>
        <v>46128.6666666666</v>
      </c>
      <c r="H138" s="18" t="n">
        <f aca="false">IFERROR(__xludf.dummyfunction("""COMPUTED_VALUE"""),13.7)</f>
        <v>13.7</v>
      </c>
      <c r="I138" s="19" t="n">
        <f aca="false">IFERROR(H138/H137-1,0)</f>
        <v>-0.00218499635833946</v>
      </c>
      <c r="J138" s="20"/>
      <c r="L138" s="17" t="n">
        <f aca="false">IFERROR(__xludf.dummyfunction("""COMPUTED_VALUE"""),46128.6666666666)</f>
        <v>46128.6666666666</v>
      </c>
      <c r="M138" s="18" t="n">
        <f aca="false">IFERROR(__xludf.dummyfunction("""COMPUTED_VALUE"""),36.7)</f>
        <v>36.7</v>
      </c>
      <c r="N138" s="19" t="n">
        <f aca="false">IFERROR(M138/M137-1,0)</f>
        <v>0.000545256270447103</v>
      </c>
      <c r="V138" s="19" t="n">
        <f aca="false">IFERROR((D138+I138+N138)/3,0)</f>
        <v>-0.00154219930448662</v>
      </c>
      <c r="W138" s="19" t="n">
        <f aca="false">IFERROR(0.3*D138+0.6*I138+0.1*N138,0)</f>
        <v>-0.00215252953562922</v>
      </c>
    </row>
    <row r="139" customFormat="false" ht="12.75" hidden="false" customHeight="true" outlineLevel="0" collapsed="false">
      <c r="B139" s="17" t="n">
        <f aca="false">IFERROR(__xludf.dummyfunction("""COMPUTED_VALUE"""),46129.6666666666)</f>
        <v>46129.6666666666</v>
      </c>
      <c r="C139" s="18" t="n">
        <f aca="false">IFERROR(__xludf.dummyfunction("""COMPUTED_VALUE"""),50.49)</f>
        <v>50.49</v>
      </c>
      <c r="D139" s="19" t="n">
        <f aca="false">IFERROR(C139/C138-1,0)</f>
        <v>0.00838825644098273</v>
      </c>
      <c r="E139" s="20"/>
      <c r="G139" s="17" t="n">
        <f aca="false">IFERROR(__xludf.dummyfunction("""COMPUTED_VALUE"""),46129.6666666666)</f>
        <v>46129.6666666666</v>
      </c>
      <c r="H139" s="18" t="n">
        <f aca="false">IFERROR(__xludf.dummyfunction("""COMPUTED_VALUE"""),13.78)</f>
        <v>13.78</v>
      </c>
      <c r="I139" s="19" t="n">
        <f aca="false">IFERROR(H139/H138-1,0)</f>
        <v>0.00583941605839411</v>
      </c>
      <c r="J139" s="20"/>
      <c r="L139" s="17" t="n">
        <f aca="false">IFERROR(__xludf.dummyfunction("""COMPUTED_VALUE"""),46129.6666666666)</f>
        <v>46129.6666666666</v>
      </c>
      <c r="M139" s="18" t="n">
        <f aca="false">IFERROR(__xludf.dummyfunction("""COMPUTED_VALUE"""),37.2)</f>
        <v>37.2</v>
      </c>
      <c r="N139" s="19" t="n">
        <f aca="false">IFERROR(M139/M138-1,0)</f>
        <v>0.013623978201635</v>
      </c>
      <c r="V139" s="19" t="n">
        <f aca="false">IFERROR((D139+I139+N139)/3,0)</f>
        <v>0.00928388356700394</v>
      </c>
      <c r="W139" s="19" t="n">
        <f aca="false">IFERROR(0.3*D139+0.6*I139+0.1*N139,0)</f>
        <v>0.00738252438749478</v>
      </c>
    </row>
    <row r="140" customFormat="false" ht="12.75" hidden="false" customHeight="true" outlineLevel="0" collapsed="false">
      <c r="B140" s="17" t="n">
        <f aca="false">IFERROR(__xludf.dummyfunction("""COMPUTED_VALUE"""),46132.6666666666)</f>
        <v>46132.6666666666</v>
      </c>
      <c r="C140" s="18" t="n">
        <f aca="false">IFERROR(__xludf.dummyfunction("""COMPUTED_VALUE"""),50.51)</f>
        <v>50.51</v>
      </c>
      <c r="D140" s="19" t="n">
        <f aca="false">IFERROR(C140/C139-1,0)</f>
        <v>0.000396118043176852</v>
      </c>
      <c r="E140" s="20"/>
      <c r="G140" s="17" t="n">
        <f aca="false">IFERROR(__xludf.dummyfunction("""COMPUTED_VALUE"""),46132.6666666666)</f>
        <v>46132.6666666666</v>
      </c>
      <c r="H140" s="18" t="n">
        <f aca="false">IFERROR(__xludf.dummyfunction("""COMPUTED_VALUE"""),13.79)</f>
        <v>13.79</v>
      </c>
      <c r="I140" s="19" t="n">
        <f aca="false">IFERROR(H140/H139-1,0)</f>
        <v>0.000725689404934782</v>
      </c>
      <c r="J140" s="20"/>
      <c r="L140" s="17" t="n">
        <f aca="false">IFERROR(__xludf.dummyfunction("""COMPUTED_VALUE"""),46132.6666666666)</f>
        <v>46132.6666666666</v>
      </c>
      <c r="M140" s="18" t="n">
        <f aca="false">IFERROR(__xludf.dummyfunction("""COMPUTED_VALUE"""),36.85)</f>
        <v>36.85</v>
      </c>
      <c r="N140" s="19" t="n">
        <f aca="false">IFERROR(M140/M139-1,0)</f>
        <v>-0.00940860215053763</v>
      </c>
      <c r="V140" s="19" t="n">
        <f aca="false">IFERROR((D140+I140+N140)/3,0)</f>
        <v>-0.00276226490080866</v>
      </c>
      <c r="W140" s="19" t="n">
        <f aca="false">IFERROR(0.3*D140+0.6*I140+0.1*N140,0)</f>
        <v>-0.000386611159139838</v>
      </c>
    </row>
    <row r="141" customFormat="false" ht="12.75" hidden="false" customHeight="true" outlineLevel="0" collapsed="false">
      <c r="B141" s="17" t="n">
        <f aca="false">IFERROR(__xludf.dummyfunction("""COMPUTED_VALUE"""),46133.6666666666)</f>
        <v>46133.6666666666</v>
      </c>
      <c r="C141" s="18" t="n">
        <f aca="false">IFERROR(__xludf.dummyfunction("""COMPUTED_VALUE"""),49.88)</f>
        <v>49.88</v>
      </c>
      <c r="D141" s="19" t="n">
        <f aca="false">IFERROR(C141/C140-1,0)</f>
        <v>-0.0124727776677884</v>
      </c>
      <c r="E141" s="20"/>
      <c r="G141" s="17" t="n">
        <f aca="false">IFERROR(__xludf.dummyfunction("""COMPUTED_VALUE"""),46133.6666666666)</f>
        <v>46133.6666666666</v>
      </c>
      <c r="H141" s="18" t="n">
        <f aca="false">IFERROR(__xludf.dummyfunction("""COMPUTED_VALUE"""),13.75)</f>
        <v>13.75</v>
      </c>
      <c r="I141" s="19" t="n">
        <f aca="false">IFERROR(H141/H140-1,0)</f>
        <v>-0.00290065264684547</v>
      </c>
      <c r="J141" s="20"/>
      <c r="L141" s="17" t="n">
        <f aca="false">IFERROR(__xludf.dummyfunction("""COMPUTED_VALUE"""),46133.6666666666)</f>
        <v>46133.6666666666</v>
      </c>
      <c r="M141" s="18" t="n">
        <f aca="false">IFERROR(__xludf.dummyfunction("""COMPUTED_VALUE"""),35.81)</f>
        <v>35.81</v>
      </c>
      <c r="N141" s="19" t="n">
        <f aca="false">IFERROR(M141/M140-1,0)</f>
        <v>-0.0282225237449117</v>
      </c>
      <c r="V141" s="19" t="n">
        <f aca="false">IFERROR((D141+I141+N141)/3,0)</f>
        <v>-0.0145319846865152</v>
      </c>
      <c r="W141" s="19" t="n">
        <f aca="false">IFERROR(0.3*D141+0.6*I141+0.1*N141,0)</f>
        <v>-0.00830447726293498</v>
      </c>
    </row>
    <row r="142" customFormat="false" ht="12.75" hidden="false" customHeight="true" outlineLevel="0" collapsed="false">
      <c r="B142" s="17" t="n">
        <f aca="false">IFERROR(__xludf.dummyfunction("""COMPUTED_VALUE"""),46134.6666666666)</f>
        <v>46134.6666666666</v>
      </c>
      <c r="C142" s="18" t="n">
        <f aca="false">IFERROR(__xludf.dummyfunction("""COMPUTED_VALUE"""),49.99)</f>
        <v>49.99</v>
      </c>
      <c r="D142" s="19" t="n">
        <f aca="false">IFERROR(C142/C141-1,0)</f>
        <v>0.00220529270248604</v>
      </c>
      <c r="E142" s="20"/>
      <c r="G142" s="17" t="n">
        <f aca="false">IFERROR(__xludf.dummyfunction("""COMPUTED_VALUE"""),46134.6666666666)</f>
        <v>46134.6666666666</v>
      </c>
      <c r="H142" s="18" t="n">
        <f aca="false">IFERROR(__xludf.dummyfunction("""COMPUTED_VALUE"""),13.75)</f>
        <v>13.75</v>
      </c>
      <c r="I142" s="19" t="n">
        <f aca="false">IFERROR(H142/H141-1,0)</f>
        <v>0</v>
      </c>
      <c r="J142" s="20"/>
      <c r="L142" s="17" t="n">
        <f aca="false">IFERROR(__xludf.dummyfunction("""COMPUTED_VALUE"""),46134.6666666666)</f>
        <v>46134.6666666666</v>
      </c>
      <c r="M142" s="18" t="n">
        <f aca="false">IFERROR(__xludf.dummyfunction("""COMPUTED_VALUE"""),36.31)</f>
        <v>36.31</v>
      </c>
      <c r="N142" s="19" t="n">
        <f aca="false">IFERROR(M142/M141-1,0)</f>
        <v>0.0139625802848367</v>
      </c>
      <c r="V142" s="19" t="n">
        <f aca="false">IFERROR((D142+I142+N142)/3,0)</f>
        <v>0.00538929099577423</v>
      </c>
      <c r="W142" s="19" t="n">
        <f aca="false">IFERROR(0.3*D142+0.6*I142+0.1*N142,0)</f>
        <v>0.00205784583922948</v>
      </c>
    </row>
    <row r="143" customFormat="false" ht="12.75" hidden="false" customHeight="true" outlineLevel="0" collapsed="false">
      <c r="B143" s="17" t="n">
        <f aca="false">IFERROR(__xludf.dummyfunction("""COMPUTED_VALUE"""),46135.6666666666)</f>
        <v>46135.6666666666</v>
      </c>
      <c r="C143" s="18" t="n">
        <f aca="false">IFERROR(__xludf.dummyfunction("""COMPUTED_VALUE"""),50)</f>
        <v>50</v>
      </c>
      <c r="D143" s="19" t="n">
        <f aca="false">IFERROR(C143/C142-1,0)</f>
        <v>0.000200040008001556</v>
      </c>
      <c r="E143" s="20"/>
      <c r="G143" s="17" t="n">
        <f aca="false">IFERROR(__xludf.dummyfunction("""COMPUTED_VALUE"""),46135.6666666666)</f>
        <v>46135.6666666666</v>
      </c>
      <c r="H143" s="18" t="n">
        <f aca="false">IFERROR(__xludf.dummyfunction("""COMPUTED_VALUE"""),13.75)</f>
        <v>13.75</v>
      </c>
      <c r="I143" s="19" t="n">
        <f aca="false">IFERROR(H143/H142-1,0)</f>
        <v>0</v>
      </c>
      <c r="J143" s="20"/>
      <c r="L143" s="17" t="n">
        <f aca="false">IFERROR(__xludf.dummyfunction("""COMPUTED_VALUE"""),46135.6666666666)</f>
        <v>46135.6666666666</v>
      </c>
      <c r="M143" s="18" t="n">
        <f aca="false">IFERROR(__xludf.dummyfunction("""COMPUTED_VALUE"""),35.87)</f>
        <v>35.87</v>
      </c>
      <c r="N143" s="19" t="n">
        <f aca="false">IFERROR(M143/M142-1,0)</f>
        <v>-0.0121178738639495</v>
      </c>
      <c r="V143" s="19" t="n">
        <f aca="false">IFERROR((D143+I143+N143)/3,0)</f>
        <v>-0.00397261128531597</v>
      </c>
      <c r="W143" s="19" t="n">
        <f aca="false">IFERROR(0.3*D143+0.6*I143+0.1*N143,0)</f>
        <v>-0.00115177538399448</v>
      </c>
    </row>
    <row r="144" customFormat="false" ht="12.75" hidden="false" customHeight="true" outlineLevel="0" collapsed="false">
      <c r="B144" s="17" t="n">
        <f aca="false">IFERROR(__xludf.dummyfunction("""COMPUTED_VALUE"""),46136.6666666666)</f>
        <v>46136.6666666666</v>
      </c>
      <c r="C144" s="18" t="n">
        <f aca="false">IFERROR(__xludf.dummyfunction("""COMPUTED_VALUE"""),49.97)</f>
        <v>49.97</v>
      </c>
      <c r="D144" s="19" t="n">
        <f aca="false">IFERROR(C144/C143-1,0)</f>
        <v>-0.000600000000000045</v>
      </c>
      <c r="E144" s="20"/>
      <c r="G144" s="17" t="n">
        <f aca="false">IFERROR(__xludf.dummyfunction("""COMPUTED_VALUE"""),46136.6666666666)</f>
        <v>46136.6666666666</v>
      </c>
      <c r="H144" s="18" t="n">
        <f aca="false">IFERROR(__xludf.dummyfunction("""COMPUTED_VALUE"""),13.78)</f>
        <v>13.78</v>
      </c>
      <c r="I144" s="19" t="n">
        <f aca="false">IFERROR(H144/H143-1,0)</f>
        <v>0.00218181818181806</v>
      </c>
      <c r="J144" s="20"/>
      <c r="L144" s="17" t="n">
        <f aca="false">IFERROR(__xludf.dummyfunction("""COMPUTED_VALUE"""),46136.6666666666)</f>
        <v>46136.6666666666</v>
      </c>
      <c r="M144" s="18" t="n">
        <f aca="false">IFERROR(__xludf.dummyfunction("""COMPUTED_VALUE"""),36.06)</f>
        <v>36.06</v>
      </c>
      <c r="N144" s="19" t="n">
        <f aca="false">IFERROR(M144/M143-1,0)</f>
        <v>0.00529690549205486</v>
      </c>
      <c r="V144" s="19" t="n">
        <f aca="false">IFERROR((D144+I144+N144)/3,0)</f>
        <v>0.00229290789129096</v>
      </c>
      <c r="W144" s="19" t="n">
        <f aca="false">IFERROR(0.3*D144+0.6*I144+0.1*N144,0)</f>
        <v>0.00165878145829631</v>
      </c>
    </row>
    <row r="145" customFormat="false" ht="12.75" hidden="false" customHeight="true" outlineLevel="0" collapsed="false">
      <c r="B145" s="17" t="n">
        <f aca="false">IFERROR(__xludf.dummyfunction("""COMPUTED_VALUE"""),46139.6666666666)</f>
        <v>46139.6666666666</v>
      </c>
      <c r="C145" s="18" t="n">
        <f aca="false">IFERROR(__xludf.dummyfunction("""COMPUTED_VALUE"""),49.81)</f>
        <v>49.81</v>
      </c>
      <c r="D145" s="19" t="n">
        <f aca="false">IFERROR(C145/C144-1,0)</f>
        <v>-0.00320192115269158</v>
      </c>
      <c r="E145" s="20"/>
      <c r="G145" s="17" t="n">
        <f aca="false">IFERROR(__xludf.dummyfunction("""COMPUTED_VALUE"""),46139.6666666666)</f>
        <v>46139.6666666666</v>
      </c>
      <c r="H145" s="18" t="n">
        <f aca="false">IFERROR(__xludf.dummyfunction("""COMPUTED_VALUE"""),13.75)</f>
        <v>13.75</v>
      </c>
      <c r="I145" s="19" t="n">
        <f aca="false">IFERROR(H145/H144-1,0)</f>
        <v>-0.00217706821480401</v>
      </c>
      <c r="J145" s="20"/>
      <c r="L145" s="17" t="n">
        <f aca="false">IFERROR(__xludf.dummyfunction("""COMPUTED_VALUE"""),46139.6666666666)</f>
        <v>46139.6666666666</v>
      </c>
      <c r="M145" s="18" t="n">
        <f aca="false">IFERROR(__xludf.dummyfunction("""COMPUTED_VALUE"""),35.78)</f>
        <v>35.78</v>
      </c>
      <c r="N145" s="19" t="n">
        <f aca="false">IFERROR(M145/M144-1,0)</f>
        <v>-0.00776483638380476</v>
      </c>
      <c r="V145" s="19" t="n">
        <f aca="false">IFERROR((D145+I145+N145)/3,0)</f>
        <v>-0.00438127525043345</v>
      </c>
      <c r="W145" s="19" t="n">
        <f aca="false">IFERROR(0.3*D145+0.6*I145+0.1*N145,0)</f>
        <v>-0.00304330091307036</v>
      </c>
    </row>
    <row r="146" customFormat="false" ht="12.75" hidden="false" customHeight="true" outlineLevel="0" collapsed="false">
      <c r="B146" s="17" t="n">
        <f aca="false">IFERROR(__xludf.dummyfunction("""COMPUTED_VALUE"""),46140.6666666666)</f>
        <v>46140.6666666666</v>
      </c>
      <c r="C146" s="18" t="n">
        <f aca="false">IFERROR(__xludf.dummyfunction("""COMPUTED_VALUE"""),49.58)</f>
        <v>49.58</v>
      </c>
      <c r="D146" s="19" t="n">
        <f aca="false">IFERROR(C146/C145-1,0)</f>
        <v>-0.00461754667737413</v>
      </c>
      <c r="E146" s="20"/>
      <c r="G146" s="17" t="n">
        <f aca="false">IFERROR(__xludf.dummyfunction("""COMPUTED_VALUE"""),46140.6666666666)</f>
        <v>46140.6666666666</v>
      </c>
      <c r="H146" s="18" t="n">
        <f aca="false">IFERROR(__xludf.dummyfunction("""COMPUTED_VALUE"""),13.75)</f>
        <v>13.75</v>
      </c>
      <c r="I146" s="19" t="n">
        <f aca="false">IFERROR(H146/H145-1,0)</f>
        <v>0</v>
      </c>
      <c r="J146" s="20"/>
      <c r="L146" s="17" t="n">
        <f aca="false">IFERROR(__xludf.dummyfunction("""COMPUTED_VALUE"""),46140.6666666666)</f>
        <v>46140.6666666666</v>
      </c>
      <c r="M146" s="18" t="n">
        <f aca="false">IFERROR(__xludf.dummyfunction("""COMPUTED_VALUE"""),35.15)</f>
        <v>35.15</v>
      </c>
      <c r="N146" s="19" t="n">
        <f aca="false">IFERROR(M146/M145-1,0)</f>
        <v>-0.0176076020122975</v>
      </c>
      <c r="V146" s="19" t="n">
        <f aca="false">IFERROR((D146+I146+N146)/3,0)</f>
        <v>-0.00740838289655721</v>
      </c>
      <c r="W146" s="19" t="n">
        <f aca="false">IFERROR(0.3*D146+0.6*I146+0.1*N146,0)</f>
        <v>-0.00314602420444199</v>
      </c>
    </row>
    <row r="147" customFormat="false" ht="12.75" hidden="false" customHeight="true" outlineLevel="0" collapsed="false">
      <c r="B147" s="17" t="n">
        <f aca="false">IFERROR(__xludf.dummyfunction("""COMPUTED_VALUE"""),46141.6666666666)</f>
        <v>46141.6666666666</v>
      </c>
      <c r="C147" s="18" t="n">
        <f aca="false">IFERROR(__xludf.dummyfunction("""COMPUTED_VALUE"""),49.18)</f>
        <v>49.18</v>
      </c>
      <c r="D147" s="19" t="n">
        <f aca="false">IFERROR(C147/C146-1,0)</f>
        <v>-0.00806776926179909</v>
      </c>
      <c r="E147" s="20"/>
      <c r="G147" s="17" t="n">
        <f aca="false">IFERROR(__xludf.dummyfunction("""COMPUTED_VALUE"""),46141.6666666666)</f>
        <v>46141.6666666666</v>
      </c>
      <c r="H147" s="18" t="n">
        <f aca="false">IFERROR(__xludf.dummyfunction("""COMPUTED_VALUE"""),13.61)</f>
        <v>13.61</v>
      </c>
      <c r="I147" s="19" t="n">
        <f aca="false">IFERROR(H147/H146-1,0)</f>
        <v>-0.0101818181818182</v>
      </c>
      <c r="J147" s="20"/>
      <c r="L147" s="17" t="n">
        <f aca="false">IFERROR(__xludf.dummyfunction("""COMPUTED_VALUE"""),46141.6666666666)</f>
        <v>46141.6666666666</v>
      </c>
      <c r="M147" s="18" t="n">
        <f aca="false">IFERROR(__xludf.dummyfunction("""COMPUTED_VALUE"""),34.78)</f>
        <v>34.78</v>
      </c>
      <c r="N147" s="19" t="n">
        <f aca="false">IFERROR(M147/M146-1,0)</f>
        <v>-0.0105263157894736</v>
      </c>
      <c r="V147" s="19" t="n">
        <f aca="false">IFERROR((D147+I147+N147)/3,0)</f>
        <v>-0.00959196774436362</v>
      </c>
      <c r="W147" s="19" t="n">
        <f aca="false">IFERROR(0.3*D147+0.6*I147+0.1*N147,0)</f>
        <v>-0.00958205326657799</v>
      </c>
    </row>
    <row r="148" customFormat="false" ht="12.75" hidden="false" customHeight="true" outlineLevel="0" collapsed="false">
      <c r="B148" s="17" t="n">
        <f aca="false">IFERROR(__xludf.dummyfunction("""COMPUTED_VALUE"""),46142.6666666666)</f>
        <v>46142.6666666666</v>
      </c>
      <c r="C148" s="18" t="n">
        <f aca="false">IFERROR(__xludf.dummyfunction("""COMPUTED_VALUE"""),50.19)</f>
        <v>50.19</v>
      </c>
      <c r="D148" s="19" t="n">
        <f aca="false">IFERROR(C148/C147-1,0)</f>
        <v>0.0205368035786906</v>
      </c>
      <c r="E148" s="20"/>
      <c r="G148" s="17" t="n">
        <f aca="false">IFERROR(__xludf.dummyfunction("""COMPUTED_VALUE"""),46142.6666666666)</f>
        <v>46142.6666666666</v>
      </c>
      <c r="H148" s="18" t="n">
        <f aca="false">IFERROR(__xludf.dummyfunction("""COMPUTED_VALUE"""),13.65)</f>
        <v>13.65</v>
      </c>
      <c r="I148" s="19" t="n">
        <f aca="false">IFERROR(H148/H147-1,0)</f>
        <v>0.00293901542983099</v>
      </c>
      <c r="J148" s="20"/>
      <c r="L148" s="17" t="n">
        <f aca="false">IFERROR(__xludf.dummyfunction("""COMPUTED_VALUE"""),46142.6666666666)</f>
        <v>46142.6666666666</v>
      </c>
      <c r="M148" s="18" t="n">
        <f aca="false">IFERROR(__xludf.dummyfunction("""COMPUTED_VALUE"""),36.1)</f>
        <v>36.1</v>
      </c>
      <c r="N148" s="19" t="n">
        <f aca="false">IFERROR(M148/M147-1,0)</f>
        <v>0.0379528464634848</v>
      </c>
      <c r="V148" s="19" t="n">
        <f aca="false">IFERROR((D148+I148+N148)/3,0)</f>
        <v>0.0204762218240021</v>
      </c>
      <c r="W148" s="19" t="n">
        <f aca="false">IFERROR(0.3*D148+0.6*I148+0.1*N148,0)</f>
        <v>0.0117197349778543</v>
      </c>
    </row>
    <row r="149" customFormat="false" ht="12.75" hidden="false" customHeight="true" outlineLevel="0" collapsed="false">
      <c r="B149" s="17" t="n">
        <f aca="false">IFERROR(__xludf.dummyfunction("""COMPUTED_VALUE"""),46143.6666666666)</f>
        <v>46143.6666666666</v>
      </c>
      <c r="C149" s="18" t="n">
        <f aca="false">IFERROR(__xludf.dummyfunction("""COMPUTED_VALUE"""),50.05)</f>
        <v>50.05</v>
      </c>
      <c r="D149" s="19" t="n">
        <f aca="false">IFERROR(C149/C148-1,0)</f>
        <v>-0.00278940027894004</v>
      </c>
      <c r="E149" s="20"/>
      <c r="G149" s="17" t="n">
        <f aca="false">IFERROR(__xludf.dummyfunction("""COMPUTED_VALUE"""),46143.6666666666)</f>
        <v>46143.6666666666</v>
      </c>
      <c r="H149" s="18" t="n">
        <f aca="false">IFERROR(__xludf.dummyfunction("""COMPUTED_VALUE"""),13.68)</f>
        <v>13.68</v>
      </c>
      <c r="I149" s="19" t="n">
        <f aca="false">IFERROR(H149/H148-1,0)</f>
        <v>0.00219780219780219</v>
      </c>
      <c r="J149" s="20"/>
      <c r="L149" s="17" t="n">
        <f aca="false">IFERROR(__xludf.dummyfunction("""COMPUTED_VALUE"""),46143.6666666666)</f>
        <v>46143.6666666666</v>
      </c>
      <c r="M149" s="18" t="n">
        <f aca="false">IFERROR(__xludf.dummyfunction("""COMPUTED_VALUE"""),35.22)</f>
        <v>35.22</v>
      </c>
      <c r="N149" s="19" t="n">
        <f aca="false">IFERROR(M149/M148-1,0)</f>
        <v>-0.0243767313019392</v>
      </c>
      <c r="V149" s="19" t="n">
        <f aca="false">IFERROR((D149+I149+N149)/3,0)</f>
        <v>-0.00832277646102568</v>
      </c>
      <c r="W149" s="19" t="n">
        <f aca="false">IFERROR(0.3*D149+0.6*I149+0.1*N149,0)</f>
        <v>-0.00195581189519461</v>
      </c>
    </row>
    <row r="150" customFormat="false" ht="12.75" hidden="false" customHeight="true" outlineLevel="0" collapsed="false">
      <c r="B150" s="17" t="n">
        <f aca="false">IFERROR(__xludf.dummyfunction("""COMPUTED_VALUE"""),46146.6666666666)</f>
        <v>46146.6666666666</v>
      </c>
      <c r="C150" s="18" t="n">
        <f aca="false">IFERROR(__xludf.dummyfunction("""COMPUTED_VALUE"""),49.74)</f>
        <v>49.74</v>
      </c>
      <c r="D150" s="19" t="n">
        <f aca="false">IFERROR(C150/C149-1,0)</f>
        <v>-0.00619380619380605</v>
      </c>
      <c r="E150" s="20"/>
      <c r="G150" s="17" t="n">
        <f aca="false">IFERROR(__xludf.dummyfunction("""COMPUTED_VALUE"""),46146.6666666666)</f>
        <v>46146.6666666666</v>
      </c>
      <c r="H150" s="18" t="n">
        <f aca="false">IFERROR(__xludf.dummyfunction("""COMPUTED_VALUE"""),13.62)</f>
        <v>13.62</v>
      </c>
      <c r="I150" s="19" t="n">
        <f aca="false">IFERROR(H150/H149-1,0)</f>
        <v>-0.00438596491228072</v>
      </c>
      <c r="J150" s="20"/>
      <c r="L150" s="17" t="n">
        <f aca="false">IFERROR(__xludf.dummyfunction("""COMPUTED_VALUE"""),46146.6666666666)</f>
        <v>46146.6666666666</v>
      </c>
      <c r="M150" s="18" t="n">
        <f aca="false">IFERROR(__xludf.dummyfunction("""COMPUTED_VALUE"""),34.56)</f>
        <v>34.56</v>
      </c>
      <c r="N150" s="19" t="n">
        <f aca="false">IFERROR(M150/M149-1,0)</f>
        <v>-0.0187393526405451</v>
      </c>
      <c r="V150" s="19" t="n">
        <f aca="false">IFERROR((D150+I150+N150)/3,0)</f>
        <v>-0.00977304124887727</v>
      </c>
      <c r="W150" s="19" t="n">
        <f aca="false">IFERROR(0.3*D150+0.6*I150+0.1*N150,0)</f>
        <v>-0.00636365606956475</v>
      </c>
    </row>
    <row r="151" customFormat="false" ht="12.75" hidden="false" customHeight="true" outlineLevel="0" collapsed="false">
      <c r="B151" s="17" t="n">
        <f aca="false">IFERROR(__xludf.dummyfunction("""COMPUTED_VALUE"""),46147.6666666666)</f>
        <v>46147.6666666666</v>
      </c>
      <c r="C151" s="18" t="n">
        <f aca="false">IFERROR(__xludf.dummyfunction("""COMPUTED_VALUE"""),49.6)</f>
        <v>49.6</v>
      </c>
      <c r="D151" s="19" t="n">
        <f aca="false">IFERROR(C151/C150-1,0)</f>
        <v>-0.00281463610776034</v>
      </c>
      <c r="E151" s="20"/>
      <c r="G151" s="17" t="n">
        <f aca="false">IFERROR(__xludf.dummyfunction("""COMPUTED_VALUE"""),46147.6666666666)</f>
        <v>46147.6666666666</v>
      </c>
      <c r="H151" s="18" t="n">
        <f aca="false">IFERROR(__xludf.dummyfunction("""COMPUTED_VALUE"""),13.61)</f>
        <v>13.61</v>
      </c>
      <c r="I151" s="19" t="n">
        <f aca="false">IFERROR(H151/H150-1,0)</f>
        <v>-0.000734214390602062</v>
      </c>
      <c r="J151" s="20"/>
      <c r="L151" s="17" t="n">
        <f aca="false">IFERROR(__xludf.dummyfunction("""COMPUTED_VALUE"""),46147.6666666666)</f>
        <v>46147.6666666666</v>
      </c>
      <c r="M151" s="18" t="n">
        <f aca="false">IFERROR(__xludf.dummyfunction("""COMPUTED_VALUE"""),34.85)</f>
        <v>34.85</v>
      </c>
      <c r="N151" s="19" t="n">
        <f aca="false">IFERROR(M151/M150-1,0)</f>
        <v>0.00839120370370372</v>
      </c>
      <c r="V151" s="19" t="n">
        <f aca="false">IFERROR((D151+I151+N151)/3,0)</f>
        <v>0.00161411773511377</v>
      </c>
      <c r="W151" s="19" t="n">
        <f aca="false">IFERROR(0.3*D151+0.6*I151+0.1*N151,0)</f>
        <v>-0.000445799096318966</v>
      </c>
    </row>
    <row r="152" customFormat="false" ht="12.75" hidden="false" customHeight="true" outlineLevel="0" collapsed="false">
      <c r="B152" s="17" t="n">
        <f aca="false">IFERROR(__xludf.dummyfunction("""COMPUTED_VALUE"""),46148.6666666666)</f>
        <v>46148.6666666666</v>
      </c>
      <c r="C152" s="18" t="n">
        <f aca="false">IFERROR(__xludf.dummyfunction("""COMPUTED_VALUE"""),49.99)</f>
        <v>49.99</v>
      </c>
      <c r="D152" s="19" t="n">
        <f aca="false">IFERROR(C152/C151-1,0)</f>
        <v>0.00786290322580641</v>
      </c>
      <c r="E152" s="20"/>
      <c r="G152" s="17" t="n">
        <f aca="false">IFERROR(__xludf.dummyfunction("""COMPUTED_VALUE"""),46148.6666666666)</f>
        <v>46148.6666666666</v>
      </c>
      <c r="H152" s="18" t="n">
        <f aca="false">IFERROR(__xludf.dummyfunction("""COMPUTED_VALUE"""),13.72)</f>
        <v>13.72</v>
      </c>
      <c r="I152" s="19" t="n">
        <f aca="false">IFERROR(H152/H151-1,0)</f>
        <v>0.0080822924320354</v>
      </c>
      <c r="J152" s="20"/>
      <c r="L152" s="17" t="n">
        <f aca="false">IFERROR(__xludf.dummyfunction("""COMPUTED_VALUE"""),46148.6666666666)</f>
        <v>46148.6666666666</v>
      </c>
      <c r="M152" s="18" t="n">
        <f aca="false">IFERROR(__xludf.dummyfunction("""COMPUTED_VALUE"""),35.95)</f>
        <v>35.95</v>
      </c>
      <c r="N152" s="19" t="n">
        <f aca="false">IFERROR(M152/M151-1,0)</f>
        <v>0.0315638450502151</v>
      </c>
      <c r="V152" s="19" t="n">
        <f aca="false">IFERROR((D152+I152+N152)/3,0)</f>
        <v>0.0158363469026857</v>
      </c>
      <c r="W152" s="19" t="n">
        <f aca="false">IFERROR(0.3*D152+0.6*I152+0.1*N152,0)</f>
        <v>0.0103646309319847</v>
      </c>
    </row>
    <row r="153" customFormat="false" ht="12.75" hidden="false" customHeight="true" outlineLevel="0" collapsed="false">
      <c r="B153" s="17" t="n">
        <f aca="false">IFERROR(__xludf.dummyfunction("""COMPUTED_VALUE"""),46149.6666666666)</f>
        <v>46149.6666666666</v>
      </c>
      <c r="C153" s="18" t="n">
        <f aca="false">IFERROR(__xludf.dummyfunction("""COMPUTED_VALUE"""),49.73)</f>
        <v>49.73</v>
      </c>
      <c r="D153" s="19" t="n">
        <f aca="false">IFERROR(C153/C152-1,0)</f>
        <v>-0.00520104020804169</v>
      </c>
      <c r="E153" s="20"/>
      <c r="G153" s="17" t="n">
        <f aca="false">IFERROR(__xludf.dummyfunction("""COMPUTED_VALUE"""),46149.6666666666)</f>
        <v>46149.6666666666</v>
      </c>
      <c r="H153" s="18" t="n">
        <f aca="false">IFERROR(__xludf.dummyfunction("""COMPUTED_VALUE"""),13.7)</f>
        <v>13.7</v>
      </c>
      <c r="I153" s="19" t="n">
        <f aca="false">IFERROR(H153/H152-1,0)</f>
        <v>-0.00145772594752192</v>
      </c>
      <c r="J153" s="20"/>
      <c r="L153" s="17" t="n">
        <f aca="false">IFERROR(__xludf.dummyfunction("""COMPUTED_VALUE"""),46149.6666666666)</f>
        <v>46149.6666666666</v>
      </c>
      <c r="M153" s="18" t="n">
        <f aca="false">IFERROR(__xludf.dummyfunction("""COMPUTED_VALUE"""),35.98)</f>
        <v>35.98</v>
      </c>
      <c r="N153" s="19" t="n">
        <f aca="false">IFERROR(M153/M152-1,0)</f>
        <v>0.000834492350486604</v>
      </c>
      <c r="V153" s="19" t="n">
        <f aca="false">IFERROR((D153+I153+N153)/3,0)</f>
        <v>-0.00194142460169233</v>
      </c>
      <c r="W153" s="19" t="n">
        <f aca="false">IFERROR(0.3*D153+0.6*I153+0.1*N153,0)</f>
        <v>-0.00235149839587699</v>
      </c>
    </row>
    <row r="154" customFormat="false" ht="12.75" hidden="false" customHeight="true" outlineLevel="0" collapsed="false">
      <c r="B154" s="17" t="n">
        <f aca="false">IFERROR(__xludf.dummyfunction("""COMPUTED_VALUE"""),46150.6666666666)</f>
        <v>46150.6666666666</v>
      </c>
      <c r="C154" s="18" t="n">
        <f aca="false">IFERROR(__xludf.dummyfunction("""COMPUTED_VALUE"""),50.09)</f>
        <v>50.09</v>
      </c>
      <c r="D154" s="19" t="n">
        <f aca="false">IFERROR(C154/C153-1,0)</f>
        <v>0.00723909109189647</v>
      </c>
      <c r="E154" s="20"/>
      <c r="G154" s="17" t="n">
        <f aca="false">IFERROR(__xludf.dummyfunction("""COMPUTED_VALUE"""),46150.6666666666)</f>
        <v>46150.6666666666</v>
      </c>
      <c r="H154" s="18" t="n">
        <f aca="false">IFERROR(__xludf.dummyfunction("""COMPUTED_VALUE"""),13.77)</f>
        <v>13.77</v>
      </c>
      <c r="I154" s="19" t="n">
        <f aca="false">IFERROR(H154/H153-1,0)</f>
        <v>0.00510948905109498</v>
      </c>
      <c r="J154" s="20"/>
      <c r="L154" s="17" t="n">
        <f aca="false">IFERROR(__xludf.dummyfunction("""COMPUTED_VALUE"""),46150.6666666666)</f>
        <v>46150.6666666666</v>
      </c>
      <c r="M154" s="18" t="n">
        <f aca="false">IFERROR(__xludf.dummyfunction("""COMPUTED_VALUE"""),36.16)</f>
        <v>36.16</v>
      </c>
      <c r="N154" s="19" t="n">
        <f aca="false">IFERROR(M154/M153-1,0)</f>
        <v>0.00500277932184545</v>
      </c>
      <c r="V154" s="19" t="n">
        <f aca="false">IFERROR((D154+I154+N154)/3,0)</f>
        <v>0.00578378648827897</v>
      </c>
      <c r="W154" s="19" t="n">
        <f aca="false">IFERROR(0.3*D154+0.6*I154+0.1*N154,0)</f>
        <v>0.00573769869041048</v>
      </c>
    </row>
    <row r="155" customFormat="false" ht="12.75" hidden="false" customHeight="true" outlineLevel="0" collapsed="false">
      <c r="B155" s="17" t="n">
        <f aca="false">IFERROR(__xludf.dummyfunction("""COMPUTED_VALUE"""),46153.6666666666)</f>
        <v>46153.6666666666</v>
      </c>
      <c r="C155" s="18" t="n">
        <f aca="false">IFERROR(__xludf.dummyfunction("""COMPUTED_VALUE"""),50.06)</f>
        <v>50.06</v>
      </c>
      <c r="D155" s="19" t="n">
        <f aca="false">IFERROR(C155/C154-1,0)</f>
        <v>-0.000598921940507147</v>
      </c>
      <c r="E155" s="20"/>
      <c r="G155" s="17" t="n">
        <f aca="false">IFERROR(__xludf.dummyfunction("""COMPUTED_VALUE"""),46153.6666666666)</f>
        <v>46153.6666666666</v>
      </c>
      <c r="H155" s="18" t="n">
        <f aca="false">IFERROR(__xludf.dummyfunction("""COMPUTED_VALUE"""),13.71)</f>
        <v>13.71</v>
      </c>
      <c r="I155" s="19" t="n">
        <f aca="false">IFERROR(H155/H154-1,0)</f>
        <v>-0.00435729847494548</v>
      </c>
      <c r="J155" s="20"/>
      <c r="L155" s="17" t="n">
        <f aca="false">IFERROR(__xludf.dummyfunction("""COMPUTED_VALUE"""),46153.6666666666)</f>
        <v>46153.6666666666</v>
      </c>
      <c r="M155" s="18" t="n">
        <f aca="false">IFERROR(__xludf.dummyfunction("""COMPUTED_VALUE"""),36.23)</f>
        <v>36.23</v>
      </c>
      <c r="N155" s="19" t="n">
        <f aca="false">IFERROR(M155/M154-1,0)</f>
        <v>0.0019358407079646</v>
      </c>
      <c r="V155" s="19" t="n">
        <f aca="false">IFERROR((D155+I155+N155)/3,0)</f>
        <v>-0.00100679323582934</v>
      </c>
      <c r="W155" s="19" t="n">
        <f aca="false">IFERROR(0.3*D155+0.6*I155+0.1*N155,0)</f>
        <v>-0.00260047159632297</v>
      </c>
    </row>
    <row r="156" customFormat="false" ht="12.75" hidden="false" customHeight="true" outlineLevel="0" collapsed="false">
      <c r="B156" s="17" t="n">
        <f aca="false">IFERROR(__xludf.dummyfunction("""COMPUTED_VALUE"""),46154.6666666666)</f>
        <v>46154.6666666666</v>
      </c>
      <c r="C156" s="18" t="n">
        <f aca="false">IFERROR(__xludf.dummyfunction("""COMPUTED_VALUE"""),50.26)</f>
        <v>50.26</v>
      </c>
      <c r="D156" s="19" t="n">
        <f aca="false">IFERROR(C156/C155-1,0)</f>
        <v>0.00399520575309631</v>
      </c>
      <c r="E156" s="20"/>
      <c r="G156" s="17" t="n">
        <f aca="false">IFERROR(__xludf.dummyfunction("""COMPUTED_VALUE"""),46154.6666666666)</f>
        <v>46154.6666666666</v>
      </c>
      <c r="H156" s="18" t="n">
        <f aca="false">IFERROR(__xludf.dummyfunction("""COMPUTED_VALUE"""),13.66)</f>
        <v>13.66</v>
      </c>
      <c r="I156" s="19" t="n">
        <f aca="false">IFERROR(H156/H155-1,0)</f>
        <v>-0.0036469730123998</v>
      </c>
      <c r="J156" s="20"/>
      <c r="L156" s="17" t="n">
        <f aca="false">IFERROR(__xludf.dummyfunction("""COMPUTED_VALUE"""),46154.6666666666)</f>
        <v>46154.6666666666</v>
      </c>
      <c r="M156" s="18" t="n">
        <f aca="false">IFERROR(__xludf.dummyfunction("""COMPUTED_VALUE"""),36.1)</f>
        <v>36.1</v>
      </c>
      <c r="N156" s="19" t="n">
        <f aca="false">IFERROR(M156/M155-1,0)</f>
        <v>-0.00358818658570237</v>
      </c>
      <c r="V156" s="19" t="n">
        <f aca="false">IFERROR((D156+I156+N156)/3,0)</f>
        <v>-0.00107998461500195</v>
      </c>
      <c r="W156" s="19" t="n">
        <f aca="false">IFERROR(0.3*D156+0.6*I156+0.1*N156,0)</f>
        <v>-0.00134844074008123</v>
      </c>
    </row>
    <row r="157" customFormat="false" ht="12.75" hidden="false" customHeight="true" outlineLevel="0" collapsed="false">
      <c r="B157" s="17" t="n">
        <f aca="false">IFERROR(__xludf.dummyfunction("""COMPUTED_VALUE"""),46155.6666666666)</f>
        <v>46155.6666666666</v>
      </c>
      <c r="C157" s="18" t="n">
        <f aca="false">IFERROR(__xludf.dummyfunction("""COMPUTED_VALUE"""),49.85)</f>
        <v>49.85</v>
      </c>
      <c r="D157" s="19" t="n">
        <f aca="false">IFERROR(C157/C156-1,0)</f>
        <v>-0.00815758058097882</v>
      </c>
      <c r="E157" s="20"/>
      <c r="G157" s="17" t="n">
        <f aca="false">IFERROR(__xludf.dummyfunction("""COMPUTED_VALUE"""),46155.6666666666)</f>
        <v>46155.6666666666</v>
      </c>
      <c r="H157" s="18" t="n">
        <f aca="false">IFERROR(__xludf.dummyfunction("""COMPUTED_VALUE"""),13.67)</f>
        <v>13.67</v>
      </c>
      <c r="I157" s="19" t="n">
        <f aca="false">IFERROR(H157/H156-1,0)</f>
        <v>0.000732064421669065</v>
      </c>
      <c r="J157" s="20"/>
      <c r="L157" s="17" t="n">
        <f aca="false">IFERROR(__xludf.dummyfunction("""COMPUTED_VALUE"""),46155.6666666666)</f>
        <v>46155.6666666666</v>
      </c>
      <c r="M157" s="18" t="n">
        <f aca="false">IFERROR(__xludf.dummyfunction("""COMPUTED_VALUE"""),35.84)</f>
        <v>35.84</v>
      </c>
      <c r="N157" s="19" t="n">
        <f aca="false">IFERROR(M157/M156-1,0)</f>
        <v>-0.00720221606648197</v>
      </c>
      <c r="V157" s="19" t="n">
        <f aca="false">IFERROR((D157+I157+N157)/3,0)</f>
        <v>-0.00487591074193057</v>
      </c>
      <c r="W157" s="19" t="n">
        <f aca="false">IFERROR(0.3*D157+0.6*I157+0.1*N157,0)</f>
        <v>-0.0027282571279404</v>
      </c>
    </row>
    <row r="158" customFormat="false" ht="12.75" hidden="false" customHeight="true" outlineLevel="0" collapsed="false">
      <c r="B158" s="17" t="n">
        <f aca="false">IFERROR(__xludf.dummyfunction("""COMPUTED_VALUE"""),46156.6666666666)</f>
        <v>46156.6666666666</v>
      </c>
      <c r="C158" s="18" t="n">
        <f aca="false">IFERROR(__xludf.dummyfunction("""COMPUTED_VALUE"""),50.31)</f>
        <v>50.31</v>
      </c>
      <c r="D158" s="19" t="n">
        <f aca="false">IFERROR(C158/C157-1,0)</f>
        <v>0.00922768304914756</v>
      </c>
      <c r="E158" s="20"/>
      <c r="G158" s="17" t="n">
        <f aca="false">IFERROR(__xludf.dummyfunction("""COMPUTED_VALUE"""),46156.6666666666)</f>
        <v>46156.6666666666</v>
      </c>
      <c r="H158" s="18" t="n">
        <f aca="false">IFERROR(__xludf.dummyfunction("""COMPUTED_VALUE"""),13.69)</f>
        <v>13.69</v>
      </c>
      <c r="I158" s="19" t="n">
        <f aca="false">IFERROR(H158/H157-1,0)</f>
        <v>0.0014630577907826</v>
      </c>
      <c r="J158" s="20"/>
      <c r="L158" s="17" t="n">
        <f aca="false">IFERROR(__xludf.dummyfunction("""COMPUTED_VALUE"""),46156.6666666666)</f>
        <v>46156.6666666666</v>
      </c>
      <c r="M158" s="18" t="n">
        <f aca="false">IFERROR(__xludf.dummyfunction("""COMPUTED_VALUE"""),35.56)</f>
        <v>35.56</v>
      </c>
      <c r="N158" s="19" t="n">
        <f aca="false">IFERROR(M158/M157-1,0)</f>
        <v>-0.0078125</v>
      </c>
      <c r="V158" s="19" t="n">
        <f aca="false">IFERROR((D158+I158+N158)/3,0)</f>
        <v>0.000959413613310053</v>
      </c>
      <c r="W158" s="19" t="n">
        <f aca="false">IFERROR(0.3*D158+0.6*I158+0.1*N158,0)</f>
        <v>0.00286488958921383</v>
      </c>
    </row>
    <row r="159" customFormat="false" ht="12.75" hidden="false" customHeight="true" outlineLevel="0" collapsed="false">
      <c r="B159" s="17" t="n">
        <f aca="false">IFERROR(__xludf.dummyfunction("""COMPUTED_VALUE"""),46157.6666666666)</f>
        <v>46157.6666666666</v>
      </c>
      <c r="C159" s="18" t="n">
        <f aca="false">IFERROR(__xludf.dummyfunction("""COMPUTED_VALUE"""),49.82)</f>
        <v>49.82</v>
      </c>
      <c r="D159" s="19" t="n">
        <f aca="false">IFERROR(C159/C158-1,0)</f>
        <v>-0.0097396143907772</v>
      </c>
      <c r="E159" s="20"/>
      <c r="G159" s="17" t="n">
        <f aca="false">IFERROR(__xludf.dummyfunction("""COMPUTED_VALUE"""),46157.6666666666)</f>
        <v>46157.6666666666</v>
      </c>
      <c r="H159" s="18" t="n">
        <f aca="false">IFERROR(__xludf.dummyfunction("""COMPUTED_VALUE"""),13.58)</f>
        <v>13.58</v>
      </c>
      <c r="I159" s="19" t="n">
        <f aca="false">IFERROR(H159/H158-1,0)</f>
        <v>-0.00803506208911609</v>
      </c>
      <c r="J159" s="20"/>
      <c r="L159" s="17" t="n">
        <f aca="false">IFERROR(__xludf.dummyfunction("""COMPUTED_VALUE"""),46157.6666666666)</f>
        <v>46157.6666666666</v>
      </c>
      <c r="M159" s="18" t="n">
        <f aca="false">IFERROR(__xludf.dummyfunction("""COMPUTED_VALUE"""),34.78)</f>
        <v>34.78</v>
      </c>
      <c r="N159" s="19" t="n">
        <f aca="false">IFERROR(M159/M158-1,0)</f>
        <v>-0.0219347581552306</v>
      </c>
      <c r="V159" s="19" t="n">
        <f aca="false">IFERROR((D159+I159+N159)/3,0)</f>
        <v>-0.013236478211708</v>
      </c>
      <c r="W159" s="19" t="n">
        <f aca="false">IFERROR(0.3*D159+0.6*I159+0.1*N159,0)</f>
        <v>-0.00993639738622587</v>
      </c>
    </row>
    <row r="160" customFormat="false" ht="12.75" hidden="false" customHeight="true" outlineLevel="0" collapsed="false">
      <c r="B160" s="17" t="n">
        <f aca="false">IFERROR(__xludf.dummyfunction("""COMPUTED_VALUE"""),46161.6666666666)</f>
        <v>46161.6666666666</v>
      </c>
      <c r="C160" s="18" t="n">
        <f aca="false">IFERROR(__xludf.dummyfunction("""COMPUTED_VALUE"""),49.94)</f>
        <v>49.94</v>
      </c>
      <c r="D160" s="19" t="n">
        <f aca="false">IFERROR(C160/C159-1,0)</f>
        <v>0.00240867121637889</v>
      </c>
      <c r="E160" s="20"/>
      <c r="G160" s="17" t="n">
        <f aca="false">IFERROR(__xludf.dummyfunction("""COMPUTED_VALUE"""),46161.6666666666)</f>
        <v>46161.6666666666</v>
      </c>
      <c r="H160" s="18" t="n">
        <f aca="false">IFERROR(__xludf.dummyfunction("""COMPUTED_VALUE"""),13.58)</f>
        <v>13.58</v>
      </c>
      <c r="I160" s="19" t="n">
        <f aca="false">IFERROR(H160/H159-1,0)</f>
        <v>0</v>
      </c>
      <c r="J160" s="20"/>
      <c r="L160" s="17" t="n">
        <f aca="false">IFERROR(__xludf.dummyfunction("""COMPUTED_VALUE"""),46161.6666666666)</f>
        <v>46161.6666666666</v>
      </c>
      <c r="M160" s="18" t="n">
        <f aca="false">IFERROR(__xludf.dummyfunction("""COMPUTED_VALUE"""),34.28)</f>
        <v>34.28</v>
      </c>
      <c r="N160" s="19" t="n">
        <f aca="false">IFERROR(M160/M159-1,0)</f>
        <v>-0.0143760782058654</v>
      </c>
      <c r="V160" s="19" t="n">
        <f aca="false">IFERROR((D160+I160+N160)/3,0)</f>
        <v>-0.00398913566316217</v>
      </c>
      <c r="W160" s="19" t="n">
        <f aca="false">IFERROR(0.3*D160+0.6*I160+0.1*N160,0)</f>
        <v>-0.000715006455672873</v>
      </c>
    </row>
    <row r="161" customFormat="false" ht="12.75" hidden="false" customHeight="true" outlineLevel="0" collapsed="false">
      <c r="B161" s="17" t="n">
        <f aca="false">IFERROR(__xludf.dummyfunction("""COMPUTED_VALUE"""),46162.6666666666)</f>
        <v>46162.6666666666</v>
      </c>
      <c r="C161" s="18" t="n">
        <f aca="false">IFERROR(__xludf.dummyfunction("""COMPUTED_VALUE"""),50.58)</f>
        <v>50.58</v>
      </c>
      <c r="D161" s="19" t="n">
        <f aca="false">IFERROR(C161/C160-1,0)</f>
        <v>0.0128153784541449</v>
      </c>
      <c r="E161" s="20"/>
      <c r="G161" s="17" t="n">
        <f aca="false">IFERROR(__xludf.dummyfunction("""COMPUTED_VALUE"""),46162.6666666666)</f>
        <v>46162.6666666666</v>
      </c>
      <c r="H161" s="18" t="n">
        <f aca="false">IFERROR(__xludf.dummyfunction("""COMPUTED_VALUE"""),13.68)</f>
        <v>13.68</v>
      </c>
      <c r="I161" s="19" t="n">
        <f aca="false">IFERROR(H161/H160-1,0)</f>
        <v>0.00736377025036816</v>
      </c>
      <c r="J161" s="20"/>
      <c r="L161" s="17" t="n">
        <f aca="false">IFERROR(__xludf.dummyfunction("""COMPUTED_VALUE"""),46162.6666666666)</f>
        <v>46162.6666666666</v>
      </c>
      <c r="M161" s="18" t="n">
        <f aca="false">IFERROR(__xludf.dummyfunction("""COMPUTED_VALUE"""),34.85)</f>
        <v>34.85</v>
      </c>
      <c r="N161" s="19" t="n">
        <f aca="false">IFERROR(M161/M160-1,0)</f>
        <v>0.0166277712952159</v>
      </c>
      <c r="V161" s="19" t="n">
        <f aca="false">IFERROR((D161+I161+N161)/3,0)</f>
        <v>0.012268973333243</v>
      </c>
      <c r="W161" s="19" t="n">
        <f aca="false">IFERROR(0.3*D161+0.6*I161+0.1*N161,0)</f>
        <v>0.00992565281598597</v>
      </c>
    </row>
    <row r="162" customFormat="false" ht="12.75" hidden="false" customHeight="true" outlineLevel="0" collapsed="false">
      <c r="B162" s="17" t="n">
        <f aca="false">IFERROR(__xludf.dummyfunction("""COMPUTED_VALUE"""),46163.6666666666)</f>
        <v>46163.6666666666</v>
      </c>
      <c r="C162" s="18" t="n">
        <f aca="false">IFERROR(__xludf.dummyfunction("""COMPUTED_VALUE"""),50.72)</f>
        <v>50.72</v>
      </c>
      <c r="D162" s="19" t="n">
        <f aca="false">IFERROR(C162/C161-1,0)</f>
        <v>0.00276789244760778</v>
      </c>
      <c r="E162" s="20"/>
      <c r="G162" s="17" t="n">
        <f aca="false">IFERROR(__xludf.dummyfunction("""COMPUTED_VALUE"""),46163.6666666666)</f>
        <v>46163.6666666666</v>
      </c>
      <c r="H162" s="18" t="n">
        <f aca="false">IFERROR(__xludf.dummyfunction("""COMPUTED_VALUE"""),13.71)</f>
        <v>13.71</v>
      </c>
      <c r="I162" s="19" t="n">
        <f aca="false">IFERROR(H162/H161-1,0)</f>
        <v>0.00219298245614041</v>
      </c>
      <c r="J162" s="20"/>
      <c r="L162" s="17" t="n">
        <f aca="false">IFERROR(__xludf.dummyfunction("""COMPUTED_VALUE"""),46163.6666666666)</f>
        <v>46163.6666666666</v>
      </c>
      <c r="M162" s="18" t="n">
        <f aca="false">IFERROR(__xludf.dummyfunction("""COMPUTED_VALUE"""),34.66)</f>
        <v>34.66</v>
      </c>
      <c r="N162" s="19" t="n">
        <f aca="false">IFERROR(M162/M161-1,0)</f>
        <v>-0.00545193687231005</v>
      </c>
      <c r="V162" s="19" t="n">
        <f aca="false">IFERROR((D162+I162+N162)/3,0)</f>
        <v>-0.000163687322853952</v>
      </c>
      <c r="W162" s="19" t="n">
        <f aca="false">IFERROR(0.3*D162+0.6*I162+0.1*N162,0)</f>
        <v>0.00160096352073558</v>
      </c>
    </row>
    <row r="163" customFormat="false" ht="12.75" hidden="false" customHeight="true" outlineLevel="0" collapsed="false">
      <c r="B163" s="17" t="n">
        <f aca="false">IFERROR(__xludf.dummyfunction("""COMPUTED_VALUE"""),46164.6666666666)</f>
        <v>46164.6666666666</v>
      </c>
      <c r="C163" s="18" t="n">
        <f aca="false">IFERROR(__xludf.dummyfunction("""COMPUTED_VALUE"""),50.78)</f>
        <v>50.78</v>
      </c>
      <c r="D163" s="19" t="n">
        <f aca="false">IFERROR(C163/C162-1,0)</f>
        <v>0.00118296529968465</v>
      </c>
      <c r="E163" s="20"/>
      <c r="G163" s="17" t="n">
        <f aca="false">IFERROR(__xludf.dummyfunction("""COMPUTED_VALUE"""),46164.6666666666)</f>
        <v>46164.6666666666</v>
      </c>
      <c r="H163" s="18" t="n">
        <f aca="false">IFERROR(__xludf.dummyfunction("""COMPUTED_VALUE"""),13.73)</f>
        <v>13.73</v>
      </c>
      <c r="I163" s="19" t="n">
        <f aca="false">IFERROR(H163/H162-1,0)</f>
        <v>0.00145878920495979</v>
      </c>
      <c r="J163" s="20"/>
      <c r="L163" s="17" t="n">
        <f aca="false">IFERROR(__xludf.dummyfunction("""COMPUTED_VALUE"""),46164.6666666666)</f>
        <v>46164.6666666666</v>
      </c>
      <c r="M163" s="18" t="n">
        <f aca="false">IFERROR(__xludf.dummyfunction("""COMPUTED_VALUE"""),34.45)</f>
        <v>34.45</v>
      </c>
      <c r="N163" s="19" t="n">
        <f aca="false">IFERROR(M163/M162-1,0)</f>
        <v>-0.00605885747259072</v>
      </c>
      <c r="V163" s="19" t="n">
        <f aca="false">IFERROR((D163+I163+N163)/3,0)</f>
        <v>-0.00113903432264876</v>
      </c>
      <c r="W163" s="19" t="n">
        <f aca="false">IFERROR(0.3*D163+0.6*I163+0.1*N163,0)</f>
        <v>0.000624277365622194</v>
      </c>
    </row>
    <row r="164" customFormat="false" ht="12.75" hidden="false" customHeight="true" outlineLevel="0" collapsed="false">
      <c r="B164" s="17" t="n">
        <f aca="false">IFERROR(__xludf.dummyfunction("""COMPUTED_VALUE"""),46167.6666666666)</f>
        <v>46167.6666666666</v>
      </c>
      <c r="C164" s="18" t="n">
        <f aca="false">IFERROR(__xludf.dummyfunction("""COMPUTED_VALUE"""),51.25)</f>
        <v>51.25</v>
      </c>
      <c r="D164" s="19" t="n">
        <f aca="false">IFERROR(C164/C163-1,0)</f>
        <v>0.00925561244584472</v>
      </c>
      <c r="E164" s="20"/>
      <c r="G164" s="17" t="n">
        <f aca="false">IFERROR(__xludf.dummyfunction("""COMPUTED_VALUE"""),46167.6666666666)</f>
        <v>46167.6666666666</v>
      </c>
      <c r="H164" s="18" t="n">
        <f aca="false">IFERROR(__xludf.dummyfunction("""COMPUTED_VALUE"""),13.79)</f>
        <v>13.79</v>
      </c>
      <c r="I164" s="19" t="n">
        <f aca="false">IFERROR(H164/H163-1,0)</f>
        <v>0.00436999271667871</v>
      </c>
      <c r="J164" s="20"/>
      <c r="L164" s="17" t="n">
        <f aca="false">IFERROR(__xludf.dummyfunction("""COMPUTED_VALUE"""),46167.6666666666)</f>
        <v>46167.6666666666</v>
      </c>
      <c r="M164" s="18" t="n">
        <f aca="false">IFERROR(__xludf.dummyfunction("""COMPUTED_VALUE"""),34.72)</f>
        <v>34.72</v>
      </c>
      <c r="N164" s="19" t="n">
        <f aca="false">IFERROR(M164/M163-1,0)</f>
        <v>0.00783744557329458</v>
      </c>
      <c r="V164" s="19" t="n">
        <f aca="false">IFERROR((D164+I164+N164)/3,0)</f>
        <v>0.00715435024527267</v>
      </c>
      <c r="W164" s="19" t="n">
        <f aca="false">IFERROR(0.3*D164+0.6*I164+0.1*N164,0)</f>
        <v>0.0061824239210901</v>
      </c>
    </row>
    <row r="165" customFormat="false" ht="12.75" hidden="false" customHeight="true" outlineLevel="0" collapsed="false">
      <c r="B165" s="17" t="n">
        <f aca="false">IFERROR(__xludf.dummyfunction("""COMPUTED_VALUE"""),46168.6666666666)</f>
        <v>46168.6666666666</v>
      </c>
      <c r="C165" s="18" t="n">
        <f aca="false">IFERROR(__xludf.dummyfunction("""COMPUTED_VALUE"""),50.89)</f>
        <v>50.89</v>
      </c>
      <c r="D165" s="19" t="n">
        <f aca="false">IFERROR(C165/C164-1,0)</f>
        <v>-0.00702439024390245</v>
      </c>
      <c r="E165" s="20"/>
      <c r="G165" s="17" t="n">
        <f aca="false">IFERROR(__xludf.dummyfunction("""COMPUTED_VALUE"""),46168.6666666666)</f>
        <v>46168.6666666666</v>
      </c>
      <c r="H165" s="18" t="n">
        <f aca="false">IFERROR(__xludf.dummyfunction("""COMPUTED_VALUE"""),13.8)</f>
        <v>13.8</v>
      </c>
      <c r="I165" s="19" t="n">
        <f aca="false">IFERROR(H165/H164-1,0)</f>
        <v>0.000725163161711562</v>
      </c>
      <c r="J165" s="20"/>
      <c r="L165" s="17" t="n">
        <f aca="false">IFERROR(__xludf.dummyfunction("""COMPUTED_VALUE"""),46168.6666666666)</f>
        <v>46168.6666666666</v>
      </c>
      <c r="M165" s="18" t="n">
        <f aca="false">IFERROR(__xludf.dummyfunction("""COMPUTED_VALUE"""),34.47)</f>
        <v>34.47</v>
      </c>
      <c r="N165" s="19" t="n">
        <f aca="false">IFERROR(M165/M164-1,0)</f>
        <v>-0.00720046082949311</v>
      </c>
      <c r="V165" s="19" t="n">
        <f aca="false">IFERROR((D165+I165+N165)/3,0)</f>
        <v>-0.00449989597056133</v>
      </c>
      <c r="W165" s="19" t="n">
        <f aca="false">IFERROR(0.3*D165+0.6*I165+0.1*N165,0)</f>
        <v>-0.00239226525909311</v>
      </c>
    </row>
    <row r="166" customFormat="false" ht="12.75" hidden="false" customHeight="true" outlineLevel="0" collapsed="false">
      <c r="B166" s="17" t="n">
        <f aca="false">IFERROR(__xludf.dummyfunction("""COMPUTED_VALUE"""),46169.6666666666)</f>
        <v>46169.6666666666</v>
      </c>
      <c r="C166" s="18" t="n">
        <f aca="false">IFERROR(__xludf.dummyfunction("""COMPUTED_VALUE"""),50.64)</f>
        <v>50.64</v>
      </c>
      <c r="D166" s="19" t="n">
        <f aca="false">IFERROR(C166/C165-1,0)</f>
        <v>-0.0049125564943997</v>
      </c>
      <c r="E166" s="20"/>
      <c r="G166" s="17" t="n">
        <f aca="false">IFERROR(__xludf.dummyfunction("""COMPUTED_VALUE"""),46169.6666666666)</f>
        <v>46169.6666666666</v>
      </c>
      <c r="H166" s="18" t="n">
        <f aca="false">IFERROR(__xludf.dummyfunction("""COMPUTED_VALUE"""),13.8)</f>
        <v>13.8</v>
      </c>
      <c r="I166" s="19" t="n">
        <f aca="false">IFERROR(H166/H165-1,0)</f>
        <v>0</v>
      </c>
      <c r="J166" s="20"/>
      <c r="L166" s="17" t="n">
        <f aca="false">IFERROR(__xludf.dummyfunction("""COMPUTED_VALUE"""),46169.6666666666)</f>
        <v>46169.6666666666</v>
      </c>
      <c r="M166" s="18" t="n">
        <f aca="false">IFERROR(__xludf.dummyfunction("""COMPUTED_VALUE"""),34.02)</f>
        <v>34.02</v>
      </c>
      <c r="N166" s="19" t="n">
        <f aca="false">IFERROR(M166/M165-1,0)</f>
        <v>-0.0130548302872061</v>
      </c>
      <c r="V166" s="19" t="n">
        <f aca="false">IFERROR((D166+I166+N166)/3,0)</f>
        <v>-0.00598912892720194</v>
      </c>
      <c r="W166" s="19" t="n">
        <f aca="false">IFERROR(0.3*D166+0.6*I166+0.1*N166,0)</f>
        <v>-0.00277924997704052</v>
      </c>
    </row>
    <row r="167" customFormat="false" ht="12.75" hidden="false" customHeight="true" outlineLevel="0" collapsed="false">
      <c r="B167" s="17" t="n">
        <f aca="false">IFERROR(__xludf.dummyfunction("""COMPUTED_VALUE"""),46170.6666666666)</f>
        <v>46170.6666666666</v>
      </c>
      <c r="C167" s="18" t="n">
        <f aca="false">IFERROR(__xludf.dummyfunction("""COMPUTED_VALUE"""),50.65)</f>
        <v>50.65</v>
      </c>
      <c r="D167" s="19" t="n">
        <f aca="false">IFERROR(C167/C166-1,0)</f>
        <v>0.000197472353870465</v>
      </c>
      <c r="E167" s="20"/>
      <c r="G167" s="17" t="n">
        <f aca="false">IFERROR(__xludf.dummyfunction("""COMPUTED_VALUE"""),46170.6666666666)</f>
        <v>46170.6666666666</v>
      </c>
      <c r="H167" s="18" t="n">
        <f aca="false">IFERROR(__xludf.dummyfunction("""COMPUTED_VALUE"""),13.8)</f>
        <v>13.8</v>
      </c>
      <c r="I167" s="19" t="n">
        <f aca="false">IFERROR(H167/H166-1,0)</f>
        <v>0</v>
      </c>
      <c r="J167" s="20"/>
      <c r="L167" s="17" t="n">
        <f aca="false">IFERROR(__xludf.dummyfunction("""COMPUTED_VALUE"""),46170.6666666666)</f>
        <v>46170.6666666666</v>
      </c>
      <c r="M167" s="18" t="n">
        <f aca="false">IFERROR(__xludf.dummyfunction("""COMPUTED_VALUE"""),34.37)</f>
        <v>34.37</v>
      </c>
      <c r="N167" s="19" t="n">
        <f aca="false">IFERROR(M167/M166-1,0)</f>
        <v>0.0102880658436213</v>
      </c>
      <c r="V167" s="19" t="n">
        <f aca="false">IFERROR((D167+I167+N167)/3,0)</f>
        <v>0.00349517939916392</v>
      </c>
      <c r="W167" s="19" t="n">
        <f aca="false">IFERROR(0.3*D167+0.6*I167+0.1*N167,0)</f>
        <v>0.00108804829052327</v>
      </c>
    </row>
    <row r="168" customFormat="false" ht="12.75" hidden="false" customHeight="true" outlineLevel="0" collapsed="false">
      <c r="B168" s="17" t="n">
        <f aca="false">IFERROR(__xludf.dummyfunction("""COMPUTED_VALUE"""),46171.6666666666)</f>
        <v>46171.6666666666</v>
      </c>
      <c r="C168" s="18" t="n">
        <f aca="false">IFERROR(__xludf.dummyfunction("""COMPUTED_VALUE"""),50.86)</f>
        <v>50.86</v>
      </c>
      <c r="D168" s="19" t="n">
        <f aca="false">IFERROR(C168/C167-1,0)</f>
        <v>0.00414610069101684</v>
      </c>
      <c r="E168" s="20"/>
      <c r="G168" s="17" t="n">
        <f aca="false">IFERROR(__xludf.dummyfunction("""COMPUTED_VALUE"""),46171.6666666666)</f>
        <v>46171.6666666666</v>
      </c>
      <c r="H168" s="18" t="n">
        <f aca="false">IFERROR(__xludf.dummyfunction("""COMPUTED_VALUE"""),13.82)</f>
        <v>13.82</v>
      </c>
      <c r="I168" s="19" t="n">
        <f aca="false">IFERROR(H168/H167-1,0)</f>
        <v>0.00144927536231876</v>
      </c>
      <c r="J168" s="20"/>
      <c r="L168" s="17" t="n">
        <f aca="false">IFERROR(__xludf.dummyfunction("""COMPUTED_VALUE"""),46171.6666666666)</f>
        <v>46171.6666666666</v>
      </c>
      <c r="M168" s="18" t="n">
        <f aca="false">IFERROR(__xludf.dummyfunction("""COMPUTED_VALUE"""),34.67)</f>
        <v>34.67</v>
      </c>
      <c r="N168" s="19" t="n">
        <f aca="false">IFERROR(M168/M167-1,0)</f>
        <v>0.00872854233343046</v>
      </c>
      <c r="V168" s="19" t="n">
        <f aca="false">IFERROR((D168+I168+N168)/3,0)</f>
        <v>0.00477463946225535</v>
      </c>
      <c r="W168" s="19" t="n">
        <f aca="false">IFERROR(0.3*D168+0.6*I168+0.1*N168,0)</f>
        <v>0.00298624965803935</v>
      </c>
    </row>
    <row r="169" customFormat="false" ht="12.75" hidden="false" customHeight="true" outlineLevel="0" collapsed="false">
      <c r="B169" s="17" t="n">
        <f aca="false">IFERROR(__xludf.dummyfunction("""COMPUTED_VALUE"""),46174.6666666666)</f>
        <v>46174.6666666666</v>
      </c>
      <c r="C169" s="18" t="n">
        <f aca="false">IFERROR(__xludf.dummyfunction("""COMPUTED_VALUE"""),50.96)</f>
        <v>50.96</v>
      </c>
      <c r="D169" s="19" t="n">
        <f aca="false">IFERROR(C169/C168-1,0)</f>
        <v>0.00196618167518681</v>
      </c>
      <c r="E169" s="20"/>
      <c r="G169" s="17" t="n">
        <f aca="false">IFERROR(__xludf.dummyfunction("""COMPUTED_VALUE"""),46174.6666666666)</f>
        <v>46174.6666666666</v>
      </c>
      <c r="H169" s="18" t="n">
        <f aca="false">IFERROR(__xludf.dummyfunction("""COMPUTED_VALUE"""),13.81)</f>
        <v>13.81</v>
      </c>
      <c r="I169" s="19" t="n">
        <f aca="false">IFERROR(H169/H168-1,0)</f>
        <v>-0.0007235890014472</v>
      </c>
      <c r="J169" s="20"/>
      <c r="L169" s="17" t="n">
        <f aca="false">IFERROR(__xludf.dummyfunction("""COMPUTED_VALUE"""),46174.6666666666)</f>
        <v>46174.6666666666</v>
      </c>
      <c r="M169" s="18" t="n">
        <f aca="false">IFERROR(__xludf.dummyfunction("""COMPUTED_VALUE"""),34.14)</f>
        <v>34.14</v>
      </c>
      <c r="N169" s="19" t="n">
        <f aca="false">IFERROR(M169/M168-1,0)</f>
        <v>-0.0152869916354197</v>
      </c>
      <c r="V169" s="19" t="n">
        <f aca="false">IFERROR((D169+I169+N169)/3,0)</f>
        <v>-0.00468146632056003</v>
      </c>
      <c r="W169" s="19" t="n">
        <f aca="false">IFERROR(0.3*D169+0.6*I169+0.1*N169,0)</f>
        <v>-0.00137299806185425</v>
      </c>
    </row>
    <row r="170" customFormat="false" ht="12.75" hidden="false" customHeight="true" outlineLevel="0" collapsed="false">
      <c r="B170" s="17" t="n">
        <f aca="false">IFERROR(__xludf.dummyfunction("""COMPUTED_VALUE"""),46175.6666666666)</f>
        <v>46175.6666666666</v>
      </c>
      <c r="C170" s="18" t="n">
        <f aca="false">IFERROR(__xludf.dummyfunction("""COMPUTED_VALUE"""),51.64)</f>
        <v>51.64</v>
      </c>
      <c r="D170" s="19" t="n">
        <f aca="false">IFERROR(C170/C169-1,0)</f>
        <v>0.0133437990580847</v>
      </c>
      <c r="E170" s="20"/>
      <c r="G170" s="17" t="n">
        <f aca="false">IFERROR(__xludf.dummyfunction("""COMPUTED_VALUE"""),46175.6666666666)</f>
        <v>46175.6666666666</v>
      </c>
      <c r="H170" s="18" t="n">
        <f aca="false">IFERROR(__xludf.dummyfunction("""COMPUTED_VALUE"""),13.82)</f>
        <v>13.82</v>
      </c>
      <c r="I170" s="19" t="n">
        <f aca="false">IFERROR(H170/H169-1,0)</f>
        <v>0.000724112961622003</v>
      </c>
      <c r="J170" s="20"/>
      <c r="L170" s="17" t="n">
        <f aca="false">IFERROR(__xludf.dummyfunction("""COMPUTED_VALUE"""),46175.6666666666)</f>
        <v>46175.6666666666</v>
      </c>
      <c r="M170" s="18" t="n">
        <f aca="false">IFERROR(__xludf.dummyfunction("""COMPUTED_VALUE"""),34.2)</f>
        <v>34.2</v>
      </c>
      <c r="N170" s="19" t="n">
        <f aca="false">IFERROR(M170/M169-1,0)</f>
        <v>0.00175746924428832</v>
      </c>
      <c r="V170" s="19" t="n">
        <f aca="false">IFERROR((D170+I170+N170)/3,0)</f>
        <v>0.00527512708799834</v>
      </c>
      <c r="W170" s="19" t="n">
        <f aca="false">IFERROR(0.3*D170+0.6*I170+0.1*N170,0)</f>
        <v>0.00461335441882744</v>
      </c>
    </row>
    <row r="171" customFormat="false" ht="12.75" hidden="false" customHeight="true" outlineLevel="0" collapsed="false">
      <c r="B171" s="17" t="n">
        <f aca="false">IFERROR(__xludf.dummyfunction("""COMPUTED_VALUE"""),46176.6666666666)</f>
        <v>46176.6666666666</v>
      </c>
      <c r="C171" s="18" t="n">
        <f aca="false">IFERROR(__xludf.dummyfunction("""COMPUTED_VALUE"""),51.19)</f>
        <v>51.19</v>
      </c>
      <c r="D171" s="19" t="n">
        <f aca="false">IFERROR(C171/C170-1,0)</f>
        <v>-0.00871417505809458</v>
      </c>
      <c r="E171" s="20"/>
      <c r="G171" s="17" t="n">
        <f aca="false">IFERROR(__xludf.dummyfunction("""COMPUTED_VALUE"""),46176.6666666666)</f>
        <v>46176.6666666666</v>
      </c>
      <c r="H171" s="18" t="n">
        <f aca="false">IFERROR(__xludf.dummyfunction("""COMPUTED_VALUE"""),13.82)</f>
        <v>13.82</v>
      </c>
      <c r="I171" s="19" t="n">
        <f aca="false">IFERROR(H171/H170-1,0)</f>
        <v>0</v>
      </c>
      <c r="J171" s="20"/>
      <c r="L171" s="17" t="n">
        <f aca="false">IFERROR(__xludf.dummyfunction("""COMPUTED_VALUE"""),46176.6666666666)</f>
        <v>46176.6666666666</v>
      </c>
      <c r="M171" s="18" t="n">
        <f aca="false">IFERROR(__xludf.dummyfunction("""COMPUTED_VALUE"""),33.92)</f>
        <v>33.92</v>
      </c>
      <c r="N171" s="19" t="n">
        <f aca="false">IFERROR(M171/M170-1,0)</f>
        <v>-0.00818713450292397</v>
      </c>
      <c r="V171" s="19" t="n">
        <f aca="false">IFERROR((D171+I171+N171)/3,0)</f>
        <v>-0.00563376985367285</v>
      </c>
      <c r="W171" s="19" t="n">
        <f aca="false">IFERROR(0.3*D171+0.6*I171+0.1*N171,0)</f>
        <v>-0.00343296596772077</v>
      </c>
    </row>
    <row r="172" customFormat="false" ht="12.75" hidden="false" customHeight="true" outlineLevel="0" collapsed="false">
      <c r="B172" s="17" t="n">
        <f aca="false">IFERROR(__xludf.dummyfunction("""COMPUTED_VALUE"""),46177.6666666666)</f>
        <v>46177.6666666666</v>
      </c>
      <c r="C172" s="18" t="n">
        <f aca="false">IFERROR(__xludf.dummyfunction("""COMPUTED_VALUE"""),51.85)</f>
        <v>51.85</v>
      </c>
      <c r="D172" s="19" t="n">
        <f aca="false">IFERROR(C172/C171-1,0)</f>
        <v>0.0128931431920298</v>
      </c>
      <c r="E172" s="20"/>
      <c r="G172" s="17" t="n">
        <f aca="false">IFERROR(__xludf.dummyfunction("""COMPUTED_VALUE"""),46177.6666666666)</f>
        <v>46177.6666666666</v>
      </c>
      <c r="H172" s="18" t="n">
        <f aca="false">IFERROR(__xludf.dummyfunction("""COMPUTED_VALUE"""),13.82)</f>
        <v>13.82</v>
      </c>
      <c r="I172" s="19" t="n">
        <f aca="false">IFERROR(H172/H171-1,0)</f>
        <v>0</v>
      </c>
      <c r="J172" s="20"/>
      <c r="L172" s="17" t="n">
        <f aca="false">IFERROR(__xludf.dummyfunction("""COMPUTED_VALUE"""),46177.6666666666)</f>
        <v>46177.6666666666</v>
      </c>
      <c r="M172" s="18" t="n">
        <f aca="false">IFERROR(__xludf.dummyfunction("""COMPUTED_VALUE"""),34.19)</f>
        <v>34.19</v>
      </c>
      <c r="N172" s="19" t="n">
        <f aca="false">IFERROR(M172/M171-1,0)</f>
        <v>0.00795990566037719</v>
      </c>
      <c r="V172" s="19" t="n">
        <f aca="false">IFERROR((D172+I172+N172)/3,0)</f>
        <v>0.00695101628413567</v>
      </c>
      <c r="W172" s="19" t="n">
        <f aca="false">IFERROR(0.3*D172+0.6*I172+0.1*N172,0)</f>
        <v>0.00466393352364667</v>
      </c>
    </row>
    <row r="173" customFormat="false" ht="12.75" hidden="false" customHeight="true" outlineLevel="0" collapsed="false">
      <c r="B173" s="17" t="n">
        <f aca="false">IFERROR(__xludf.dummyfunction("""COMPUTED_VALUE"""),46178.6666666666)</f>
        <v>46178.6666666666</v>
      </c>
      <c r="C173" s="18" t="n">
        <f aca="false">IFERROR(__xludf.dummyfunction("""COMPUTED_VALUE"""),50.85)</f>
        <v>50.85</v>
      </c>
      <c r="D173" s="19" t="n">
        <f aca="false">IFERROR(C173/C172-1,0)</f>
        <v>-0.0192864030858245</v>
      </c>
      <c r="E173" s="20"/>
      <c r="G173" s="17" t="n">
        <f aca="false">IFERROR(__xludf.dummyfunction("""COMPUTED_VALUE"""),46178.6666666666)</f>
        <v>46178.6666666666</v>
      </c>
      <c r="H173" s="18" t="n">
        <f aca="false">IFERROR(__xludf.dummyfunction("""COMPUTED_VALUE"""),13.77)</f>
        <v>13.77</v>
      </c>
      <c r="I173" s="19" t="n">
        <f aca="false">IFERROR(H173/H172-1,0)</f>
        <v>-0.00361794500723589</v>
      </c>
      <c r="J173" s="20"/>
      <c r="L173" s="17" t="n">
        <f aca="false">IFERROR(__xludf.dummyfunction("""COMPUTED_VALUE"""),46178.6666666666)</f>
        <v>46178.6666666666</v>
      </c>
      <c r="M173" s="18" t="n">
        <f aca="false">IFERROR(__xludf.dummyfunction("""COMPUTED_VALUE"""),32.98)</f>
        <v>32.98</v>
      </c>
      <c r="N173" s="19" t="n">
        <f aca="false">IFERROR(M173/M172-1,0)</f>
        <v>-0.0353904650482597</v>
      </c>
      <c r="V173" s="19" t="n">
        <f aca="false">IFERROR((D173+I173+N173)/3,0)</f>
        <v>-0.01943160438044</v>
      </c>
      <c r="W173" s="19" t="n">
        <f aca="false">IFERROR(0.3*D173+0.6*I173+0.1*N173,0)</f>
        <v>-0.0114957344349149</v>
      </c>
    </row>
    <row r="174" customFormat="false" ht="12.75" hidden="false" customHeight="true" outlineLevel="0" collapsed="false">
      <c r="B174" s="17" t="n">
        <f aca="false">IFERROR(__xludf.dummyfunction("""COMPUTED_VALUE"""),46181.6666666666)</f>
        <v>46181.6666666666</v>
      </c>
      <c r="C174" s="18" t="n">
        <f aca="false">IFERROR(__xludf.dummyfunction("""COMPUTED_VALUE"""),50.98)</f>
        <v>50.98</v>
      </c>
      <c r="D174" s="19" t="n">
        <f aca="false">IFERROR(C174/C173-1,0)</f>
        <v>0.00255653883972462</v>
      </c>
      <c r="E174" s="20"/>
      <c r="G174" s="17" t="n">
        <f aca="false">IFERROR(__xludf.dummyfunction("""COMPUTED_VALUE"""),46181.6666666666)</f>
        <v>46181.6666666666</v>
      </c>
      <c r="H174" s="18" t="n">
        <f aca="false">IFERROR(__xludf.dummyfunction("""COMPUTED_VALUE"""),13.72)</f>
        <v>13.72</v>
      </c>
      <c r="I174" s="19" t="n">
        <f aca="false">IFERROR(H174/H173-1,0)</f>
        <v>-0.00363108206245455</v>
      </c>
      <c r="J174" s="20"/>
      <c r="L174" s="17" t="n">
        <f aca="false">IFERROR(__xludf.dummyfunction("""COMPUTED_VALUE"""),46181.6666666666)</f>
        <v>46181.6666666666</v>
      </c>
      <c r="M174" s="18" t="n">
        <f aca="false">IFERROR(__xludf.dummyfunction("""COMPUTED_VALUE"""),32.94)</f>
        <v>32.94</v>
      </c>
      <c r="N174" s="19" t="n">
        <f aca="false">IFERROR(M174/M173-1,0)</f>
        <v>-0.00121285627653123</v>
      </c>
      <c r="V174" s="19" t="n">
        <f aca="false">IFERROR((D174+I174+N174)/3,0)</f>
        <v>-0.000762466499753719</v>
      </c>
      <c r="W174" s="19" t="n">
        <f aca="false">IFERROR(0.3*D174+0.6*I174+0.1*N174,0)</f>
        <v>-0.00153297321320847</v>
      </c>
    </row>
    <row r="175" customFormat="false" ht="12.75" hidden="false" customHeight="true" outlineLevel="0" collapsed="false">
      <c r="B175" s="17" t="n">
        <f aca="false">IFERROR(__xludf.dummyfunction("""COMPUTED_VALUE"""),46182.6666666666)</f>
        <v>46182.6666666666</v>
      </c>
      <c r="C175" s="18" t="n">
        <f aca="false">IFERROR(__xludf.dummyfunction("""COMPUTED_VALUE"""),50.97)</f>
        <v>50.97</v>
      </c>
      <c r="D175" s="19" t="n">
        <f aca="false">IFERROR(C175/C174-1,0)</f>
        <v>-0.000196155355041139</v>
      </c>
      <c r="E175" s="20"/>
      <c r="G175" s="17" t="n">
        <f aca="false">IFERROR(__xludf.dummyfunction("""COMPUTED_VALUE"""),46182.6666666666)</f>
        <v>46182.6666666666</v>
      </c>
      <c r="H175" s="18" t="n">
        <f aca="false">IFERROR(__xludf.dummyfunction("""COMPUTED_VALUE"""),13.73)</f>
        <v>13.73</v>
      </c>
      <c r="I175" s="19" t="n">
        <f aca="false">IFERROR(H175/H174-1,0)</f>
        <v>0.000728862973760958</v>
      </c>
      <c r="J175" s="20"/>
      <c r="L175" s="17" t="n">
        <f aca="false">IFERROR(__xludf.dummyfunction("""COMPUTED_VALUE"""),46182.6666666666)</f>
        <v>46182.6666666666</v>
      </c>
      <c r="M175" s="18" t="n">
        <f aca="false">IFERROR(__xludf.dummyfunction("""COMPUTED_VALUE"""),32.51)</f>
        <v>32.51</v>
      </c>
      <c r="N175" s="19" t="n">
        <f aca="false">IFERROR(M175/M174-1,0)</f>
        <v>-0.0130540376442015</v>
      </c>
      <c r="V175" s="19" t="n">
        <f aca="false">IFERROR((D175+I175+N175)/3,0)</f>
        <v>-0.00417377667516058</v>
      </c>
      <c r="W175" s="19" t="n">
        <f aca="false">IFERROR(0.3*D175+0.6*I175+0.1*N175,0)</f>
        <v>-0.000926932586675922</v>
      </c>
    </row>
    <row r="176" customFormat="false" ht="12.75" hidden="false" customHeight="true" outlineLevel="0" collapsed="false">
      <c r="B176" s="17" t="n">
        <f aca="false">IFERROR(__xludf.dummyfunction("""COMPUTED_VALUE"""),46183.6666666666)</f>
        <v>46183.6666666666</v>
      </c>
      <c r="C176" s="18" t="n">
        <f aca="false">IFERROR(__xludf.dummyfunction("""COMPUTED_VALUE"""),50.72)</f>
        <v>50.72</v>
      </c>
      <c r="D176" s="19" t="n">
        <f aca="false">IFERROR(C176/C175-1,0)</f>
        <v>-0.00490484598783603</v>
      </c>
      <c r="E176" s="20"/>
      <c r="G176" s="17" t="n">
        <f aca="false">IFERROR(__xludf.dummyfunction("""COMPUTED_VALUE"""),46183.6666666666)</f>
        <v>46183.6666666666</v>
      </c>
      <c r="H176" s="18" t="n">
        <f aca="false">IFERROR(__xludf.dummyfunction("""COMPUTED_VALUE"""),13.76)</f>
        <v>13.76</v>
      </c>
      <c r="I176" s="19" t="n">
        <f aca="false">IFERROR(H176/H175-1,0)</f>
        <v>0.00218499635833935</v>
      </c>
      <c r="J176" s="20"/>
      <c r="L176" s="17" t="n">
        <f aca="false">IFERROR(__xludf.dummyfunction("""COMPUTED_VALUE"""),46183.6666666666)</f>
        <v>46183.6666666666</v>
      </c>
      <c r="M176" s="18" t="n">
        <f aca="false">IFERROR(__xludf.dummyfunction("""COMPUTED_VALUE"""),31.13)</f>
        <v>31.13</v>
      </c>
      <c r="N176" s="19" t="n">
        <f aca="false">IFERROR(M176/M175-1,0)</f>
        <v>-0.0424484773915718</v>
      </c>
      <c r="V176" s="19" t="n">
        <f aca="false">IFERROR((D176+I176+N176)/3,0)</f>
        <v>-0.0150561090070228</v>
      </c>
      <c r="W176" s="19" t="n">
        <f aca="false">IFERROR(0.3*D176+0.6*I176+0.1*N176,0)</f>
        <v>-0.00440530372050437</v>
      </c>
    </row>
    <row r="177" customFormat="false" ht="12.75" hidden="false" customHeight="true" outlineLevel="0" collapsed="false">
      <c r="B177" s="17" t="n">
        <f aca="false">IFERROR(__xludf.dummyfunction("""COMPUTED_VALUE"""),46184.6666666666)</f>
        <v>46184.6666666666</v>
      </c>
      <c r="C177" s="18" t="n">
        <f aca="false">IFERROR(__xludf.dummyfunction("""COMPUTED_VALUE"""),51.43)</f>
        <v>51.43</v>
      </c>
      <c r="D177" s="19" t="n">
        <f aca="false">IFERROR(C177/C176-1,0)</f>
        <v>0.0139984227129337</v>
      </c>
      <c r="E177" s="20"/>
      <c r="G177" s="17" t="n">
        <f aca="false">IFERROR(__xludf.dummyfunction("""COMPUTED_VALUE"""),46184.6666666666)</f>
        <v>46184.6666666666</v>
      </c>
      <c r="H177" s="18" t="n">
        <f aca="false">IFERROR(__xludf.dummyfunction("""COMPUTED_VALUE"""),13.83)</f>
        <v>13.83</v>
      </c>
      <c r="I177" s="19" t="n">
        <f aca="false">IFERROR(H177/H176-1,0)</f>
        <v>0.00508720930232554</v>
      </c>
      <c r="J177" s="20"/>
      <c r="L177" s="17" t="n">
        <f aca="false">IFERROR(__xludf.dummyfunction("""COMPUTED_VALUE"""),46184.6666666666)</f>
        <v>46184.6666666666</v>
      </c>
      <c r="M177" s="18" t="n">
        <f aca="false">IFERROR(__xludf.dummyfunction("""COMPUTED_VALUE"""),32.06)</f>
        <v>32.06</v>
      </c>
      <c r="N177" s="19" t="n">
        <f aca="false">IFERROR(M177/M176-1,0)</f>
        <v>0.0298747189206554</v>
      </c>
      <c r="V177" s="19" t="n">
        <f aca="false">IFERROR((D177+I177+N177)/3,0)</f>
        <v>0.0163201169786382</v>
      </c>
      <c r="W177" s="19" t="n">
        <f aca="false">IFERROR(0.3*D177+0.6*I177+0.1*N177,0)</f>
        <v>0.010239324287341</v>
      </c>
    </row>
    <row r="178" customFormat="false" ht="12.75" hidden="false" customHeight="true" outlineLevel="0" collapsed="false">
      <c r="B178" s="17" t="n">
        <f aca="false">IFERROR(__xludf.dummyfunction("""COMPUTED_VALUE"""),46185.6666666666)</f>
        <v>46185.6666666666</v>
      </c>
      <c r="C178" s="18" t="n">
        <f aca="false">IFERROR(__xludf.dummyfunction("""COMPUTED_VALUE"""),51.75)</f>
        <v>51.75</v>
      </c>
      <c r="D178" s="19" t="n">
        <f aca="false">IFERROR(C178/C177-1,0)</f>
        <v>0.00622204938751692</v>
      </c>
      <c r="E178" s="20"/>
      <c r="G178" s="17" t="n">
        <f aca="false">IFERROR(__xludf.dummyfunction("""COMPUTED_VALUE"""),46185.6666666666)</f>
        <v>46185.6666666666</v>
      </c>
      <c r="H178" s="18" t="n">
        <f aca="false">IFERROR(__xludf.dummyfunction("""COMPUTED_VALUE"""),13.83)</f>
        <v>13.83</v>
      </c>
      <c r="I178" s="19" t="n">
        <f aca="false">IFERROR(H178/H177-1,0)</f>
        <v>0</v>
      </c>
      <c r="J178" s="20"/>
      <c r="L178" s="17" t="n">
        <f aca="false">IFERROR(__xludf.dummyfunction("""COMPUTED_VALUE"""),46185.6666666666)</f>
        <v>46185.6666666666</v>
      </c>
      <c r="M178" s="18" t="n">
        <f aca="false">IFERROR(__xludf.dummyfunction("""COMPUTED_VALUE"""),32.14)</f>
        <v>32.14</v>
      </c>
      <c r="N178" s="19" t="n">
        <f aca="false">IFERROR(M178/M177-1,0)</f>
        <v>0.00249532127261376</v>
      </c>
      <c r="V178" s="19" t="n">
        <f aca="false">IFERROR((D178+I178+N178)/3,0)</f>
        <v>0.00290579022004356</v>
      </c>
      <c r="W178" s="19" t="n">
        <f aca="false">IFERROR(0.3*D178+0.6*I178+0.1*N178,0)</f>
        <v>0.00211614694351645</v>
      </c>
    </row>
    <row r="179" customFormat="false" ht="12.75" hidden="false" customHeight="true" outlineLevel="0" collapsed="false">
      <c r="B179" s="17" t="n">
        <f aca="false">IFERROR(__xludf.dummyfunction("""COMPUTED_VALUE"""),46188.6666666666)</f>
        <v>46188.6666666666</v>
      </c>
      <c r="C179" s="18" t="n">
        <f aca="false">IFERROR(__xludf.dummyfunction("""COMPUTED_VALUE"""),52.11)</f>
        <v>52.11</v>
      </c>
      <c r="D179" s="19" t="n">
        <f aca="false">IFERROR(C179/C178-1,0)</f>
        <v>0.00695652173913053</v>
      </c>
      <c r="E179" s="20"/>
      <c r="G179" s="17" t="n">
        <f aca="false">IFERROR(__xludf.dummyfunction("""COMPUTED_VALUE"""),46188.6666666666)</f>
        <v>46188.6666666666</v>
      </c>
      <c r="H179" s="18" t="n">
        <f aca="false">IFERROR(__xludf.dummyfunction("""COMPUTED_VALUE"""),13.84)</f>
        <v>13.84</v>
      </c>
      <c r="I179" s="19" t="n">
        <f aca="false">IFERROR(H179/H178-1,0)</f>
        <v>0.000723065798987621</v>
      </c>
      <c r="J179" s="20"/>
      <c r="L179" s="17" t="n">
        <f aca="false">IFERROR(__xludf.dummyfunction("""COMPUTED_VALUE"""),46188.6666666666)</f>
        <v>46188.6666666666</v>
      </c>
      <c r="M179" s="18" t="n">
        <f aca="false">IFERROR(__xludf.dummyfunction("""COMPUTED_VALUE"""),32.95)</f>
        <v>32.95</v>
      </c>
      <c r="N179" s="19" t="n">
        <f aca="false">IFERROR(M179/M178-1,0)</f>
        <v>0.025202240199129</v>
      </c>
      <c r="V179" s="19" t="n">
        <f aca="false">IFERROR((D179+I179+N179)/3,0)</f>
        <v>0.010960609245749</v>
      </c>
      <c r="W179" s="19" t="n">
        <f aca="false">IFERROR(0.3*D179+0.6*I179+0.1*N179,0)</f>
        <v>0.00504102002104463</v>
      </c>
    </row>
    <row r="180" customFormat="false" ht="12.75" hidden="false" customHeight="true" outlineLevel="0" collapsed="false">
      <c r="B180" s="17" t="n">
        <f aca="false">IFERROR(__xludf.dummyfunction("""COMPUTED_VALUE"""),46189.6666666666)</f>
        <v>46189.6666666666</v>
      </c>
      <c r="C180" s="18" t="n">
        <f aca="false">IFERROR(__xludf.dummyfunction("""COMPUTED_VALUE"""),52.27)</f>
        <v>52.27</v>
      </c>
      <c r="D180" s="19" t="n">
        <f aca="false">IFERROR(C180/C179-1,0)</f>
        <v>0.0030704279408944</v>
      </c>
      <c r="E180" s="20"/>
      <c r="G180" s="17" t="n">
        <f aca="false">IFERROR(__xludf.dummyfunction("""COMPUTED_VALUE"""),46189.6666666666)</f>
        <v>46189.6666666666</v>
      </c>
      <c r="H180" s="18" t="n">
        <f aca="false">IFERROR(__xludf.dummyfunction("""COMPUTED_VALUE"""),13.85)</f>
        <v>13.85</v>
      </c>
      <c r="I180" s="19" t="n">
        <f aca="false">IFERROR(H180/H179-1,0)</f>
        <v>0.000722543352601246</v>
      </c>
      <c r="J180" s="20"/>
      <c r="L180" s="17" t="n">
        <f aca="false">IFERROR(__xludf.dummyfunction("""COMPUTED_VALUE"""),46189.6666666666)</f>
        <v>46189.6666666666</v>
      </c>
      <c r="M180" s="18" t="n">
        <f aca="false">IFERROR(__xludf.dummyfunction("""COMPUTED_VALUE"""),33.02)</f>
        <v>33.02</v>
      </c>
      <c r="N180" s="19" t="n">
        <f aca="false">IFERROR(M180/M179-1,0)</f>
        <v>0.00212443095599402</v>
      </c>
      <c r="V180" s="19" t="n">
        <f aca="false">IFERROR((D180+I180+N180)/3,0)</f>
        <v>0.00197246741649656</v>
      </c>
      <c r="W180" s="19" t="n">
        <f aca="false">IFERROR(0.3*D180+0.6*I180+0.1*N180,0)</f>
        <v>0.00156709748942847</v>
      </c>
    </row>
    <row r="181" customFormat="false" ht="12.75" hidden="false" customHeight="true" outlineLevel="0" collapsed="false">
      <c r="B181" s="17" t="n">
        <f aca="false">IFERROR(__xludf.dummyfunction("""COMPUTED_VALUE"""),46190.6666666666)</f>
        <v>46190.6666666666</v>
      </c>
      <c r="C181" s="18" t="n">
        <f aca="false">IFERROR(__xludf.dummyfunction("""COMPUTED_VALUE"""),51.95)</f>
        <v>51.95</v>
      </c>
      <c r="D181" s="19" t="n">
        <f aca="false">IFERROR(C181/C180-1,0)</f>
        <v>-0.00612205854218484</v>
      </c>
      <c r="E181" s="20"/>
      <c r="G181" s="17" t="n">
        <f aca="false">IFERROR(__xludf.dummyfunction("""COMPUTED_VALUE"""),46190.6666666666)</f>
        <v>46190.6666666666</v>
      </c>
      <c r="H181" s="18" t="n">
        <f aca="false">IFERROR(__xludf.dummyfunction("""COMPUTED_VALUE"""),13.82)</f>
        <v>13.82</v>
      </c>
      <c r="I181" s="19" t="n">
        <f aca="false">IFERROR(H181/H180-1,0)</f>
        <v>-0.00216606498194938</v>
      </c>
      <c r="J181" s="20"/>
      <c r="L181" s="17" t="n">
        <f aca="false">IFERROR(__xludf.dummyfunction("""COMPUTED_VALUE"""),46190.6666666666)</f>
        <v>46190.6666666666</v>
      </c>
      <c r="M181" s="18" t="n">
        <f aca="false">IFERROR(__xludf.dummyfunction("""COMPUTED_VALUE"""),32.32)</f>
        <v>32.32</v>
      </c>
      <c r="N181" s="19" t="n">
        <f aca="false">IFERROR(M181/M180-1,0)</f>
        <v>-0.0211992731677771</v>
      </c>
      <c r="V181" s="19" t="n">
        <f aca="false">IFERROR((D181+I181+N181)/3,0)</f>
        <v>-0.00982913223063712</v>
      </c>
      <c r="W181" s="19" t="n">
        <f aca="false">IFERROR(0.3*D181+0.6*I181+0.1*N181,0)</f>
        <v>-0.00525618386860279</v>
      </c>
    </row>
    <row r="182" customFormat="false" ht="12.75" hidden="false" customHeight="true" outlineLevel="0" collapsed="false">
      <c r="B182" s="17" t="n">
        <f aca="false">IFERROR(__xludf.dummyfunction("""COMPUTED_VALUE"""),46191.6666666666)</f>
        <v>46191.6666666666</v>
      </c>
      <c r="C182" s="18" t="n">
        <f aca="false">IFERROR(__xludf.dummyfunction("""COMPUTED_VALUE"""),51.73)</f>
        <v>51.73</v>
      </c>
      <c r="D182" s="19" t="n">
        <f aca="false">IFERROR(C182/C181-1,0)</f>
        <v>-0.00423484119345541</v>
      </c>
      <c r="E182" s="20"/>
      <c r="G182" s="17" t="n">
        <f aca="false">IFERROR(__xludf.dummyfunction("""COMPUTED_VALUE"""),46191.6666666666)</f>
        <v>46191.6666666666</v>
      </c>
      <c r="H182" s="18" t="n">
        <f aca="false">IFERROR(__xludf.dummyfunction("""COMPUTED_VALUE"""),13.85)</f>
        <v>13.85</v>
      </c>
      <c r="I182" s="19" t="n">
        <f aca="false">IFERROR(H182/H181-1,0)</f>
        <v>0.00217076700434138</v>
      </c>
      <c r="J182" s="20"/>
      <c r="L182" s="17" t="n">
        <f aca="false">IFERROR(__xludf.dummyfunction("""COMPUTED_VALUE"""),46191.6666666666)</f>
        <v>46191.6666666666</v>
      </c>
      <c r="M182" s="18" t="n">
        <f aca="false">IFERROR(__xludf.dummyfunction("""COMPUTED_VALUE"""),32.14)</f>
        <v>32.14</v>
      </c>
      <c r="N182" s="19" t="n">
        <f aca="false">IFERROR(M182/M181-1,0)</f>
        <v>-0.00556930693069302</v>
      </c>
      <c r="V182" s="19" t="n">
        <f aca="false">IFERROR((D182+I182+N182)/3,0)</f>
        <v>-0.00254446037326902</v>
      </c>
      <c r="W182" s="19" t="n">
        <f aca="false">IFERROR(0.3*D182+0.6*I182+0.1*N182,0)</f>
        <v>-0.000524922848501097</v>
      </c>
    </row>
    <row r="183" customFormat="false" ht="12.75" hidden="false" customHeight="true" outlineLevel="0" collapsed="false">
      <c r="B183" s="17" t="n">
        <f aca="false">IFERROR(__xludf.dummyfunction("""COMPUTED_VALUE"""),46192.6666666666)</f>
        <v>46192.6666666666</v>
      </c>
      <c r="C183" s="18" t="n">
        <f aca="false">IFERROR(__xludf.dummyfunction("""COMPUTED_VALUE"""),51.56)</f>
        <v>51.56</v>
      </c>
      <c r="D183" s="19" t="n">
        <f aca="false">IFERROR(C183/C182-1,0)</f>
        <v>-0.00328629421998827</v>
      </c>
      <c r="E183" s="20"/>
      <c r="G183" s="17" t="n">
        <f aca="false">IFERROR(__xludf.dummyfunction("""COMPUTED_VALUE"""),46192.6666666666)</f>
        <v>46192.6666666666</v>
      </c>
      <c r="H183" s="18" t="n">
        <f aca="false">IFERROR(__xludf.dummyfunction("""COMPUTED_VALUE"""),13.84)</f>
        <v>13.84</v>
      </c>
      <c r="I183" s="19" t="n">
        <f aca="false">IFERROR(H183/H182-1,0)</f>
        <v>-0.00072202166064983</v>
      </c>
      <c r="J183" s="20"/>
      <c r="L183" s="17" t="n">
        <f aca="false">IFERROR(__xludf.dummyfunction("""COMPUTED_VALUE"""),46192.6666666666)</f>
        <v>46192.6666666666</v>
      </c>
      <c r="M183" s="18" t="n">
        <f aca="false">IFERROR(__xludf.dummyfunction("""COMPUTED_VALUE"""),31.4)</f>
        <v>31.4</v>
      </c>
      <c r="N183" s="19" t="n">
        <f aca="false">IFERROR(M183/M182-1,0)</f>
        <v>-0.0230242688238955</v>
      </c>
      <c r="V183" s="19" t="n">
        <f aca="false">IFERROR((D183+I183+N183)/3,0)</f>
        <v>-0.00901086156817788</v>
      </c>
      <c r="W183" s="19" t="n">
        <f aca="false">IFERROR(0.3*D183+0.6*I183+0.1*N183,0)</f>
        <v>-0.00372152814477593</v>
      </c>
    </row>
    <row r="184" customFormat="false" ht="12.75" hidden="false" customHeight="true" outlineLevel="0" collapsed="false">
      <c r="B184" s="17" t="n">
        <f aca="false">IFERROR(__xludf.dummyfunction("""COMPUTED_VALUE"""),46195.6666666666)</f>
        <v>46195.6666666666</v>
      </c>
      <c r="C184" s="18" t="n">
        <f aca="false">IFERROR(__xludf.dummyfunction("""COMPUTED_VALUE"""),51.84)</f>
        <v>51.84</v>
      </c>
      <c r="D184" s="19" t="n">
        <f aca="false">IFERROR(C184/C183-1,0)</f>
        <v>0.00543056633048877</v>
      </c>
      <c r="E184" s="20"/>
      <c r="G184" s="17" t="n">
        <f aca="false">IFERROR(__xludf.dummyfunction("""COMPUTED_VALUE"""),46195.6666666666)</f>
        <v>46195.6666666666</v>
      </c>
      <c r="H184" s="18" t="n">
        <f aca="false">IFERROR(__xludf.dummyfunction("""COMPUTED_VALUE"""),13.8)</f>
        <v>13.8</v>
      </c>
      <c r="I184" s="19" t="n">
        <f aca="false">IFERROR(H184/H183-1,0)</f>
        <v>-0.00289017341040454</v>
      </c>
      <c r="J184" s="20"/>
      <c r="L184" s="17" t="n">
        <f aca="false">IFERROR(__xludf.dummyfunction("""COMPUTED_VALUE"""),46195.6666666666)</f>
        <v>46195.6666666666</v>
      </c>
      <c r="M184" s="18" t="n">
        <f aca="false">IFERROR(__xludf.dummyfunction("""COMPUTED_VALUE"""),31.99)</f>
        <v>31.99</v>
      </c>
      <c r="N184" s="19" t="n">
        <f aca="false">IFERROR(M184/M183-1,0)</f>
        <v>0.0187898089171974</v>
      </c>
      <c r="V184" s="19" t="n">
        <f aca="false">IFERROR((D184+I184+N184)/3,0)</f>
        <v>0.00711006727909388</v>
      </c>
      <c r="W184" s="19" t="n">
        <f aca="false">IFERROR(0.3*D184+0.6*I184+0.1*N184,0)</f>
        <v>0.00177404674462365</v>
      </c>
    </row>
    <row r="185" customFormat="false" ht="12.75" hidden="false" customHeight="true" outlineLevel="0" collapsed="false">
      <c r="B185" s="17" t="n">
        <f aca="false">IFERROR(__xludf.dummyfunction("""COMPUTED_VALUE"""),46196.6666666666)</f>
        <v>46196.6666666666</v>
      </c>
      <c r="C185" s="18" t="n">
        <f aca="false">IFERROR(__xludf.dummyfunction("""COMPUTED_VALUE"""),51.92)</f>
        <v>51.92</v>
      </c>
      <c r="D185" s="19" t="n">
        <f aca="false">IFERROR(C185/C184-1,0)</f>
        <v>0.00154320987654311</v>
      </c>
      <c r="E185" s="20"/>
      <c r="G185" s="17" t="n">
        <f aca="false">IFERROR(__xludf.dummyfunction("""COMPUTED_VALUE"""),46196.6666666666)</f>
        <v>46196.6666666666</v>
      </c>
      <c r="H185" s="18" t="n">
        <f aca="false">IFERROR(__xludf.dummyfunction("""COMPUTED_VALUE"""),13.82)</f>
        <v>13.82</v>
      </c>
      <c r="I185" s="19" t="n">
        <f aca="false">IFERROR(H185/H184-1,0)</f>
        <v>0.00144927536231876</v>
      </c>
      <c r="J185" s="20"/>
      <c r="L185" s="17" t="n">
        <f aca="false">IFERROR(__xludf.dummyfunction("""COMPUTED_VALUE"""),46196.6666666666)</f>
        <v>46196.6666666666</v>
      </c>
      <c r="M185" s="18" t="n">
        <f aca="false">IFERROR(__xludf.dummyfunction("""COMPUTED_VALUE"""),31.3)</f>
        <v>31.3</v>
      </c>
      <c r="N185" s="19" t="n">
        <f aca="false">IFERROR(M185/M184-1,0)</f>
        <v>-0.0215692403876211</v>
      </c>
      <c r="V185" s="19" t="n">
        <f aca="false">IFERROR((D185+I185+N185)/3,0)</f>
        <v>-0.00619225171625308</v>
      </c>
      <c r="W185" s="19" t="n">
        <f aca="false">IFERROR(0.3*D185+0.6*I185+0.1*N185,0)</f>
        <v>-0.000824395858407923</v>
      </c>
    </row>
    <row r="186" customFormat="false" ht="12.75" hidden="false" customHeight="true" outlineLevel="0" collapsed="false">
      <c r="B186" s="17" t="n">
        <f aca="false">IFERROR(__xludf.dummyfunction("""COMPUTED_VALUE"""),46197.6666666666)</f>
        <v>46197.6666666666</v>
      </c>
      <c r="C186" s="18" t="n">
        <f aca="false">IFERROR(__xludf.dummyfunction("""COMPUTED_VALUE"""),51.74)</f>
        <v>51.74</v>
      </c>
      <c r="D186" s="19" t="n">
        <f aca="false">IFERROR(C186/C185-1,0)</f>
        <v>-0.00346687211093988</v>
      </c>
      <c r="E186" s="20"/>
      <c r="G186" s="17" t="n">
        <f aca="false">IFERROR(__xludf.dummyfunction("""COMPUTED_VALUE"""),46197.6666666666)</f>
        <v>46197.6666666666</v>
      </c>
      <c r="H186" s="18" t="n">
        <f aca="false">IFERROR(__xludf.dummyfunction("""COMPUTED_VALUE"""),13.89)</f>
        <v>13.89</v>
      </c>
      <c r="I186" s="19" t="n">
        <f aca="false">IFERROR(H186/H185-1,0)</f>
        <v>0.00506512301013018</v>
      </c>
      <c r="J186" s="20"/>
      <c r="L186" s="17" t="n">
        <f aca="false">IFERROR(__xludf.dummyfunction("""COMPUTED_VALUE"""),46197.6666666666)</f>
        <v>46197.6666666666</v>
      </c>
      <c r="M186" s="18" t="n">
        <f aca="false">IFERROR(__xludf.dummyfunction("""COMPUTED_VALUE"""),30.36)</f>
        <v>30.36</v>
      </c>
      <c r="N186" s="19" t="n">
        <f aca="false">IFERROR(M186/M185-1,0)</f>
        <v>-0.0300319488817892</v>
      </c>
      <c r="V186" s="19" t="n">
        <f aca="false">IFERROR((D186+I186+N186)/3,0)</f>
        <v>-0.00947789932753296</v>
      </c>
      <c r="W186" s="19" t="n">
        <f aca="false">IFERROR(0.3*D186+0.6*I186+0.1*N186,0)</f>
        <v>-0.00100418271538277</v>
      </c>
    </row>
    <row r="187" customFormat="false" ht="12.75" hidden="false" customHeight="true" outlineLevel="0" collapsed="false">
      <c r="B187" s="17" t="n">
        <f aca="false">IFERROR(__xludf.dummyfunction("""COMPUTED_VALUE"""),46198.6666666666)</f>
        <v>46198.6666666666</v>
      </c>
      <c r="C187" s="18" t="n">
        <f aca="false">IFERROR(__xludf.dummyfunction("""COMPUTED_VALUE"""),51.91)</f>
        <v>51.91</v>
      </c>
      <c r="D187" s="19" t="n">
        <f aca="false">IFERROR(C187/C186-1,0)</f>
        <v>0.00328565906455336</v>
      </c>
      <c r="E187" s="20"/>
      <c r="G187" s="17" t="n">
        <f aca="false">IFERROR(__xludf.dummyfunction("""COMPUTED_VALUE"""),46198.6666666666)</f>
        <v>46198.6666666666</v>
      </c>
      <c r="H187" s="18" t="n">
        <f aca="false">IFERROR(__xludf.dummyfunction("""COMPUTED_VALUE"""),13.87)</f>
        <v>13.87</v>
      </c>
      <c r="I187" s="19" t="n">
        <f aca="false">IFERROR(H187/H186-1,0)</f>
        <v>-0.00143988480921531</v>
      </c>
      <c r="J187" s="20"/>
      <c r="L187" s="17" t="n">
        <f aca="false">IFERROR(__xludf.dummyfunction("""COMPUTED_VALUE"""),46198.6666666666)</f>
        <v>46198.6666666666</v>
      </c>
      <c r="M187" s="18" t="n">
        <f aca="false">IFERROR(__xludf.dummyfunction("""COMPUTED_VALUE"""),30.65)</f>
        <v>30.65</v>
      </c>
      <c r="N187" s="19" t="n">
        <f aca="false">IFERROR(M187/M186-1,0)</f>
        <v>0.0095520421607378</v>
      </c>
      <c r="V187" s="19" t="n">
        <f aca="false">IFERROR((D187+I187+N187)/3,0)</f>
        <v>0.00379927213869195</v>
      </c>
      <c r="W187" s="19" t="n">
        <f aca="false">IFERROR(0.3*D187+0.6*I187+0.1*N187,0)</f>
        <v>0.0010769710499106</v>
      </c>
    </row>
    <row r="188" customFormat="false" ht="12.75" hidden="false" customHeight="true" outlineLevel="0" collapsed="false">
      <c r="B188" s="17" t="n">
        <f aca="false">IFERROR(__xludf.dummyfunction("""COMPUTED_VALUE"""),46199.6666666666)</f>
        <v>46199.6666666666</v>
      </c>
      <c r="C188" s="18" t="n">
        <f aca="false">IFERROR(__xludf.dummyfunction("""COMPUTED_VALUE"""),51.96)</f>
        <v>51.96</v>
      </c>
      <c r="D188" s="19" t="n">
        <f aca="false">IFERROR(C188/C187-1,0)</f>
        <v>0.00096320554806395</v>
      </c>
      <c r="E188" s="20"/>
      <c r="G188" s="17" t="n">
        <f aca="false">IFERROR(__xludf.dummyfunction("""COMPUTED_VALUE"""),46199.6666666666)</f>
        <v>46199.6666666666</v>
      </c>
      <c r="H188" s="18" t="n">
        <f aca="false">IFERROR(__xludf.dummyfunction("""COMPUTED_VALUE"""),13.87)</f>
        <v>13.87</v>
      </c>
      <c r="I188" s="19" t="n">
        <f aca="false">IFERROR(H188/H187-1,0)</f>
        <v>0</v>
      </c>
      <c r="J188" s="20"/>
      <c r="L188" s="17" t="n">
        <f aca="false">IFERROR(__xludf.dummyfunction("""COMPUTED_VALUE"""),46199.6666666666)</f>
        <v>46199.6666666666</v>
      </c>
      <c r="M188" s="18" t="n">
        <f aca="false">IFERROR(__xludf.dummyfunction("""COMPUTED_VALUE"""),31.03)</f>
        <v>31.03</v>
      </c>
      <c r="N188" s="19" t="n">
        <f aca="false">IFERROR(M188/M187-1,0)</f>
        <v>0.0123980424143557</v>
      </c>
      <c r="V188" s="19" t="n">
        <f aca="false">IFERROR((D188+I188+N188)/3,0)</f>
        <v>0.00445374932080656</v>
      </c>
      <c r="W188" s="19" t="n">
        <f aca="false">IFERROR(0.3*D188+0.6*I188+0.1*N188,0)</f>
        <v>0.00152876590585476</v>
      </c>
    </row>
    <row r="189" customFormat="false" ht="12.75" hidden="false" customHeight="true" outlineLevel="0" collapsed="false">
      <c r="B189" s="17" t="n">
        <f aca="false">IFERROR(__xludf.dummyfunction("""COMPUTED_VALUE"""),46202.6666666666)</f>
        <v>46202.6666666666</v>
      </c>
      <c r="C189" s="18" t="n">
        <f aca="false">IFERROR(__xludf.dummyfunction("""COMPUTED_VALUE"""),51.75)</f>
        <v>51.75</v>
      </c>
      <c r="D189" s="19" t="n">
        <f aca="false">IFERROR(C189/C188-1,0)</f>
        <v>-0.00404157043879905</v>
      </c>
      <c r="E189" s="20"/>
      <c r="G189" s="17" t="n">
        <f aca="false">IFERROR(__xludf.dummyfunction("""COMPUTED_VALUE"""),46202.6666666666)</f>
        <v>46202.6666666666</v>
      </c>
      <c r="H189" s="18" t="n">
        <f aca="false">IFERROR(__xludf.dummyfunction("""COMPUTED_VALUE"""),13.86)</f>
        <v>13.86</v>
      </c>
      <c r="I189" s="19" t="n">
        <f aca="false">IFERROR(H189/H188-1,0)</f>
        <v>-0.000720980533525539</v>
      </c>
      <c r="J189" s="20"/>
      <c r="L189" s="17" t="n">
        <f aca="false">IFERROR(__xludf.dummyfunction("""COMPUTED_VALUE"""),46202.6666666666)</f>
        <v>46202.6666666666</v>
      </c>
      <c r="M189" s="18" t="n">
        <f aca="false">IFERROR(__xludf.dummyfunction("""COMPUTED_VALUE"""),30.57)</f>
        <v>30.57</v>
      </c>
      <c r="N189" s="19" t="n">
        <f aca="false">IFERROR(M189/M188-1,0)</f>
        <v>-0.014824363519175</v>
      </c>
      <c r="V189" s="19" t="n">
        <f aca="false">IFERROR((D189+I189+N189)/3,0)</f>
        <v>-0.00652897149716654</v>
      </c>
      <c r="W189" s="19" t="n">
        <f aca="false">IFERROR(0.3*D189+0.6*I189+0.1*N189,0)</f>
        <v>-0.00312749580367254</v>
      </c>
    </row>
    <row r="190" customFormat="false" ht="12.75" hidden="false" customHeight="true" outlineLevel="0" collapsed="false">
      <c r="B190" s="17" t="n">
        <f aca="false">IFERROR(__xludf.dummyfunction("""COMPUTED_VALUE"""),46203.6666666666)</f>
        <v>46203.6666666666</v>
      </c>
      <c r="C190" s="18" t="n">
        <f aca="false">IFERROR(__xludf.dummyfunction("""COMPUTED_VALUE"""),51.81)</f>
        <v>51.81</v>
      </c>
      <c r="D190" s="19" t="n">
        <f aca="false">IFERROR(C190/C189-1,0)</f>
        <v>0.00115942028985505</v>
      </c>
      <c r="E190" s="20"/>
      <c r="G190" s="17" t="n">
        <f aca="false">IFERROR(__xludf.dummyfunction("""COMPUTED_VALUE"""),46203.6666666666)</f>
        <v>46203.6666666666</v>
      </c>
      <c r="H190" s="18" t="n">
        <f aca="false">IFERROR(__xludf.dummyfunction("""COMPUTED_VALUE"""),13.84)</f>
        <v>13.84</v>
      </c>
      <c r="I190" s="19" t="n">
        <f aca="false">IFERROR(H190/H189-1,0)</f>
        <v>-0.00144300144300136</v>
      </c>
      <c r="J190" s="20"/>
      <c r="L190" s="17" t="n">
        <f aca="false">IFERROR(__xludf.dummyfunction("""COMPUTED_VALUE"""),46203.6666666666)</f>
        <v>46203.6666666666</v>
      </c>
      <c r="M190" s="18" t="n">
        <f aca="false">IFERROR(__xludf.dummyfunction("""COMPUTED_VALUE"""),30.56)</f>
        <v>30.56</v>
      </c>
      <c r="N190" s="19" t="n">
        <f aca="false">IFERROR(M190/M189-1,0)</f>
        <v>-0.000327118089630374</v>
      </c>
      <c r="V190" s="19" t="n">
        <f aca="false">IFERROR((D190+I190+N190)/3,0)</f>
        <v>-0.000203566414258893</v>
      </c>
      <c r="W190" s="19" t="n">
        <f aca="false">IFERROR(0.3*D190+0.6*I190+0.1*N190,0)</f>
        <v>-0.000550686587807336</v>
      </c>
    </row>
    <row r="191" customFormat="false" ht="12.75" hidden="false" customHeight="true" outlineLevel="0" collapsed="false">
      <c r="B191" s="17" t="n">
        <f aca="false">IFERROR(__xludf.dummyfunction("""COMPUTED_VALUE"""),46205.6666666666)</f>
        <v>46205.6666666666</v>
      </c>
      <c r="C191" s="18" t="n">
        <f aca="false">IFERROR(__xludf.dummyfunction("""COMPUTED_VALUE"""),51.95)</f>
        <v>51.95</v>
      </c>
      <c r="D191" s="19" t="n">
        <f aca="false">IFERROR(C191/C190-1,0)</f>
        <v>0.00270218104613007</v>
      </c>
      <c r="E191" s="20"/>
      <c r="G191" s="17" t="n">
        <f aca="false">IFERROR(__xludf.dummyfunction("""COMPUTED_VALUE"""),46205.6666666666)</f>
        <v>46205.6666666666</v>
      </c>
      <c r="H191" s="18" t="n">
        <f aca="false">IFERROR(__xludf.dummyfunction("""COMPUTED_VALUE"""),13.79)</f>
        <v>13.79</v>
      </c>
      <c r="I191" s="19" t="n">
        <f aca="false">IFERROR(H191/H190-1,0)</f>
        <v>-0.00361271676300579</v>
      </c>
      <c r="J191" s="20"/>
      <c r="L191" s="17" t="n">
        <f aca="false">IFERROR(__xludf.dummyfunction("""COMPUTED_VALUE"""),46205.6666666666)</f>
        <v>46205.6666666666</v>
      </c>
      <c r="M191" s="18" t="n">
        <f aca="false">IFERROR(__xludf.dummyfunction("""COMPUTED_VALUE"""),31.32)</f>
        <v>31.32</v>
      </c>
      <c r="N191" s="19" t="n">
        <f aca="false">IFERROR(M191/M190-1,0)</f>
        <v>0.0248691099476441</v>
      </c>
      <c r="V191" s="19" t="n">
        <f aca="false">IFERROR((D191+I191+N191)/3,0)</f>
        <v>0.00798619141025614</v>
      </c>
      <c r="W191" s="19" t="n">
        <f aca="false">IFERROR(0.3*D191+0.6*I191+0.1*N191,0)</f>
        <v>0.00112993525079996</v>
      </c>
    </row>
    <row r="192" customFormat="false" ht="12.75" hidden="false" customHeight="true" outlineLevel="0" collapsed="false">
      <c r="B192" s="17" t="n">
        <f aca="false">IFERROR(__xludf.dummyfunction("""COMPUTED_VALUE"""),46206.6666666666)</f>
        <v>46206.6666666666</v>
      </c>
      <c r="C192" s="18" t="n">
        <f aca="false">IFERROR(__xludf.dummyfunction("""COMPUTED_VALUE"""),52.28)</f>
        <v>52.28</v>
      </c>
      <c r="D192" s="19" t="n">
        <f aca="false">IFERROR(C192/C191-1,0)</f>
        <v>0.00635226179018278</v>
      </c>
      <c r="E192" s="20"/>
      <c r="G192" s="17" t="n">
        <f aca="false">IFERROR(__xludf.dummyfunction("""COMPUTED_VALUE"""),46206.6666666666)</f>
        <v>46206.6666666666</v>
      </c>
      <c r="H192" s="18" t="n">
        <f aca="false">IFERROR(__xludf.dummyfunction("""COMPUTED_VALUE"""),13.8)</f>
        <v>13.8</v>
      </c>
      <c r="I192" s="19" t="n">
        <f aca="false">IFERROR(H192/H191-1,0)</f>
        <v>0.000725163161711562</v>
      </c>
      <c r="J192" s="20"/>
      <c r="L192" s="17" t="n">
        <f aca="false">IFERROR(__xludf.dummyfunction("""COMPUTED_VALUE"""),46206.6666666666)</f>
        <v>46206.6666666666</v>
      </c>
      <c r="M192" s="18" t="n">
        <f aca="false">IFERROR(__xludf.dummyfunction("""COMPUTED_VALUE"""),31.9)</f>
        <v>31.9</v>
      </c>
      <c r="N192" s="19" t="n">
        <f aca="false">IFERROR(M192/M191-1,0)</f>
        <v>0.0185185185185184</v>
      </c>
      <c r="V192" s="19" t="n">
        <f aca="false">IFERROR((D192+I192+N192)/3,0)</f>
        <v>0.00853198115680424</v>
      </c>
      <c r="W192" s="19" t="n">
        <f aca="false">IFERROR(0.3*D192+0.6*I192+0.1*N192,0)</f>
        <v>0.00419262828593361</v>
      </c>
    </row>
    <row r="193" customFormat="false" ht="12.75" hidden="false" customHeight="true" outlineLevel="0" collapsed="false">
      <c r="B193" s="17" t="n">
        <f aca="false">IFERROR(__xludf.dummyfunction("""COMPUTED_VALUE"""),46209.6666666666)</f>
        <v>46209.6666666666</v>
      </c>
      <c r="C193" s="18" t="n">
        <f aca="false">IFERROR(__xludf.dummyfunction("""COMPUTED_VALUE"""),52.28)</f>
        <v>52.28</v>
      </c>
      <c r="D193" s="19" t="n">
        <f aca="false">IFERROR(C193/C192-1,0)</f>
        <v>0</v>
      </c>
      <c r="E193" s="20"/>
      <c r="G193" s="17" t="n">
        <f aca="false">IFERROR(__xludf.dummyfunction("""COMPUTED_VALUE"""),46209.6666666666)</f>
        <v>46209.6666666666</v>
      </c>
      <c r="H193" s="18" t="n">
        <f aca="false">IFERROR(__xludf.dummyfunction("""COMPUTED_VALUE"""),13.83)</f>
        <v>13.83</v>
      </c>
      <c r="I193" s="19" t="n">
        <f aca="false">IFERROR(H193/H192-1,0)</f>
        <v>0.00217391304347814</v>
      </c>
      <c r="J193" s="20"/>
      <c r="L193" s="17" t="n">
        <f aca="false">IFERROR(__xludf.dummyfunction("""COMPUTED_VALUE"""),46209.6666666666)</f>
        <v>46209.6666666666</v>
      </c>
      <c r="M193" s="18" t="n">
        <f aca="false">IFERROR(__xludf.dummyfunction("""COMPUTED_VALUE"""),31.7)</f>
        <v>31.7</v>
      </c>
      <c r="N193" s="19" t="n">
        <f aca="false">IFERROR(M193/M192-1,0)</f>
        <v>-0.00626959247648906</v>
      </c>
      <c r="V193" s="19" t="n">
        <f aca="false">IFERROR((D193+I193+N193)/3,0)</f>
        <v>-0.00136522647767031</v>
      </c>
      <c r="W193" s="19" t="n">
        <f aca="false">IFERROR(0.3*D193+0.6*I193+0.1*N193,0)</f>
        <v>0.000677388578437976</v>
      </c>
    </row>
    <row r="194" customFormat="false" ht="12.75" hidden="false" customHeight="true" outlineLevel="0" collapsed="false">
      <c r="B194" s="17" t="n">
        <f aca="false">IFERROR(__xludf.dummyfunction("""COMPUTED_VALUE"""),46210.6666666666)</f>
        <v>46210.6666666666</v>
      </c>
      <c r="C194" s="18" t="n">
        <f aca="false">IFERROR(__xludf.dummyfunction("""COMPUTED_VALUE"""),52.56)</f>
        <v>52.56</v>
      </c>
      <c r="D194" s="19" t="n">
        <f aca="false">IFERROR(C194/C193-1,0)</f>
        <v>0.00535577658760533</v>
      </c>
      <c r="E194" s="20"/>
      <c r="G194" s="17" t="n">
        <f aca="false">IFERROR(__xludf.dummyfunction("""COMPUTED_VALUE"""),46210.6666666666)</f>
        <v>46210.6666666666</v>
      </c>
      <c r="H194" s="18" t="n">
        <f aca="false">IFERROR(__xludf.dummyfunction("""COMPUTED_VALUE"""),13.76)</f>
        <v>13.76</v>
      </c>
      <c r="I194" s="19" t="n">
        <f aca="false">IFERROR(H194/H193-1,0)</f>
        <v>-0.00506146059291401</v>
      </c>
      <c r="J194" s="20"/>
      <c r="L194" s="17" t="n">
        <f aca="false">IFERROR(__xludf.dummyfunction("""COMPUTED_VALUE"""),46210.6666666666)</f>
        <v>46210.6666666666</v>
      </c>
      <c r="M194" s="18" t="n">
        <f aca="false">IFERROR(__xludf.dummyfunction("""COMPUTED_VALUE"""),31.27)</f>
        <v>31.27</v>
      </c>
      <c r="N194" s="19" t="n">
        <f aca="false">IFERROR(M194/M193-1,0)</f>
        <v>-0.0135646687697161</v>
      </c>
      <c r="V194" s="19" t="n">
        <f aca="false">IFERROR((D194+I194+N194)/3,0)</f>
        <v>-0.00442345092500825</v>
      </c>
      <c r="W194" s="19" t="n">
        <f aca="false">IFERROR(0.3*D194+0.6*I194+0.1*N194,0)</f>
        <v>-0.00278661025643842</v>
      </c>
    </row>
    <row r="195" customFormat="false" ht="12.75" hidden="false" customHeight="true" outlineLevel="0" collapsed="false">
      <c r="B195" s="17" t="n">
        <f aca="false">IFERROR(__xludf.dummyfunction("""COMPUTED_VALUE"""),46211.6666666666)</f>
        <v>46211.6666666666</v>
      </c>
      <c r="C195" s="18" t="n">
        <f aca="false">IFERROR(__xludf.dummyfunction("""COMPUTED_VALUE"""),52.06)</f>
        <v>52.06</v>
      </c>
      <c r="D195" s="19" t="n">
        <f aca="false">IFERROR(C195/C194-1,0)</f>
        <v>-0.00951293759512939</v>
      </c>
      <c r="E195" s="20"/>
      <c r="G195" s="17" t="n">
        <f aca="false">IFERROR(__xludf.dummyfunction("""COMPUTED_VALUE"""),46211.6666666666)</f>
        <v>46211.6666666666</v>
      </c>
      <c r="H195" s="18" t="n">
        <f aca="false">IFERROR(__xludf.dummyfunction("""COMPUTED_VALUE"""),13.7)</f>
        <v>13.7</v>
      </c>
      <c r="I195" s="19" t="n">
        <f aca="false">IFERROR(H195/H194-1,0)</f>
        <v>-0.00436046511627908</v>
      </c>
      <c r="J195" s="20"/>
      <c r="L195" s="17" t="n">
        <f aca="false">IFERROR(__xludf.dummyfunction("""COMPUTED_VALUE"""),46211.6666666666)</f>
        <v>46211.6666666666</v>
      </c>
      <c r="M195" s="18" t="n">
        <f aca="false">IFERROR(__xludf.dummyfunction("""COMPUTED_VALUE"""),31.05)</f>
        <v>31.05</v>
      </c>
      <c r="N195" s="19" t="n">
        <f aca="false">IFERROR(M195/M194-1,0)</f>
        <v>-0.00703549728173969</v>
      </c>
      <c r="V195" s="19" t="n">
        <f aca="false">IFERROR((D195+I195+N195)/3,0)</f>
        <v>-0.00696963333104939</v>
      </c>
      <c r="W195" s="19" t="n">
        <f aca="false">IFERROR(0.3*D195+0.6*I195+0.1*N195,0)</f>
        <v>-0.00617371007648023</v>
      </c>
    </row>
    <row r="196" customFormat="false" ht="12.75" hidden="false" customHeight="true" outlineLevel="0" collapsed="false">
      <c r="B196" s="17" t="n">
        <f aca="false">IFERROR(__xludf.dummyfunction("""COMPUTED_VALUE"""),46212.6666666666)</f>
        <v>46212.6666666666</v>
      </c>
      <c r="C196" s="18" t="n">
        <f aca="false">IFERROR(__xludf.dummyfunction("""COMPUTED_VALUE"""),52.42)</f>
        <v>52.42</v>
      </c>
      <c r="D196" s="19" t="n">
        <f aca="false">IFERROR(C196/C195-1,0)</f>
        <v>0.0069150979638879</v>
      </c>
      <c r="E196" s="20"/>
      <c r="G196" s="17" t="n">
        <f aca="false">IFERROR(__xludf.dummyfunction("""COMPUTED_VALUE"""),46212.6666666666)</f>
        <v>46212.6666666666</v>
      </c>
      <c r="H196" s="18" t="n">
        <f aca="false">IFERROR(__xludf.dummyfunction("""COMPUTED_VALUE"""),13.74)</f>
        <v>13.74</v>
      </c>
      <c r="I196" s="19" t="n">
        <f aca="false">IFERROR(H196/H195-1,0)</f>
        <v>0.00291970802919717</v>
      </c>
      <c r="J196" s="20"/>
      <c r="L196" s="17" t="n">
        <f aca="false">IFERROR(__xludf.dummyfunction("""COMPUTED_VALUE"""),46212.6666666666)</f>
        <v>46212.6666666666</v>
      </c>
      <c r="M196" s="18" t="n">
        <f aca="false">IFERROR(__xludf.dummyfunction("""COMPUTED_VALUE"""),31.35)</f>
        <v>31.35</v>
      </c>
      <c r="N196" s="19" t="n">
        <f aca="false">IFERROR(M196/M195-1,0)</f>
        <v>0.00966183574879231</v>
      </c>
      <c r="V196" s="19" t="n">
        <f aca="false">IFERROR((D196+I196+N196)/3,0)</f>
        <v>0.00649888058062579</v>
      </c>
      <c r="W196" s="19" t="n">
        <f aca="false">IFERROR(0.3*D196+0.6*I196+0.1*N196,0)</f>
        <v>0.0047925377815639</v>
      </c>
    </row>
    <row r="197" customFormat="false" ht="12.75" hidden="false" customHeight="true" outlineLevel="0" collapsed="false">
      <c r="B197" s="17" t="n">
        <f aca="false">IFERROR(__xludf.dummyfunction("""COMPUTED_VALUE"""),46213.6666666666)</f>
        <v>46213.6666666666</v>
      </c>
      <c r="C197" s="18" t="n">
        <f aca="false">IFERROR(__xludf.dummyfunction("""COMPUTED_VALUE"""),52.69)</f>
        <v>52.69</v>
      </c>
      <c r="D197" s="19" t="n">
        <f aca="false">IFERROR(C197/C196-1,0)</f>
        <v>0.00515070583746646</v>
      </c>
      <c r="E197" s="20"/>
      <c r="G197" s="17" t="n">
        <f aca="false">IFERROR(__xludf.dummyfunction("""COMPUTED_VALUE"""),46213.6666666666)</f>
        <v>46213.6666666666</v>
      </c>
      <c r="H197" s="18" t="n">
        <f aca="false">IFERROR(__xludf.dummyfunction("""COMPUTED_VALUE"""),13.75)</f>
        <v>13.75</v>
      </c>
      <c r="I197" s="19" t="n">
        <f aca="false">IFERROR(H197/H196-1,0)</f>
        <v>0.000727802037845615</v>
      </c>
      <c r="J197" s="20"/>
      <c r="L197" s="17" t="n">
        <f aca="false">IFERROR(__xludf.dummyfunction("""COMPUTED_VALUE"""),46213.6666666666)</f>
        <v>46213.6666666666</v>
      </c>
      <c r="M197" s="18" t="n">
        <f aca="false">IFERROR(__xludf.dummyfunction("""COMPUTED_VALUE"""),31.21)</f>
        <v>31.21</v>
      </c>
      <c r="N197" s="19" t="n">
        <f aca="false">IFERROR(M197/M196-1,0)</f>
        <v>-0.00446570972886762</v>
      </c>
      <c r="V197" s="19" t="n">
        <f aca="false">IFERROR((D197+I197+N197)/3,0)</f>
        <v>0.000470932715481487</v>
      </c>
      <c r="W197" s="19" t="n">
        <f aca="false">IFERROR(0.3*D197+0.6*I197+0.1*N197,0)</f>
        <v>0.00153532200106055</v>
      </c>
    </row>
    <row r="198" customFormat="false" ht="12.75" hidden="false" customHeight="true" outlineLevel="0" collapsed="false">
      <c r="B198" s="17" t="n">
        <f aca="false">IFERROR(__xludf.dummyfunction("""COMPUTED_VALUE"""),46216.6666666666)</f>
        <v>46216.6666666666</v>
      </c>
      <c r="C198" s="18" t="n">
        <f aca="false">IFERROR(__xludf.dummyfunction("""COMPUTED_VALUE"""),52.74)</f>
        <v>52.74</v>
      </c>
      <c r="D198" s="19" t="n">
        <f aca="false">IFERROR(C198/C197-1,0)</f>
        <v>0.000948946669197204</v>
      </c>
      <c r="E198" s="20"/>
      <c r="G198" s="17" t="n">
        <f aca="false">IFERROR(__xludf.dummyfunction("""COMPUTED_VALUE"""),46216.6666666666)</f>
        <v>46216.6666666666</v>
      </c>
      <c r="H198" s="18" t="n">
        <f aca="false">IFERROR(__xludf.dummyfunction("""COMPUTED_VALUE"""),13.7)</f>
        <v>13.7</v>
      </c>
      <c r="I198" s="19" t="n">
        <f aca="false">IFERROR(H198/H197-1,0)</f>
        <v>-0.00363636363636366</v>
      </c>
      <c r="J198" s="20"/>
      <c r="L198" s="17" t="n">
        <f aca="false">IFERROR(__xludf.dummyfunction("""COMPUTED_VALUE"""),46216.6666666666)</f>
        <v>46216.6666666666</v>
      </c>
      <c r="M198" s="18" t="n">
        <f aca="false">IFERROR(__xludf.dummyfunction("""COMPUTED_VALUE"""),30.43)</f>
        <v>30.43</v>
      </c>
      <c r="N198" s="19" t="n">
        <f aca="false">IFERROR(M198/M197-1,0)</f>
        <v>-0.024991989746876</v>
      </c>
      <c r="V198" s="19" t="n">
        <f aca="false">IFERROR((D198+I198+N198)/3,0)</f>
        <v>-0.00922646890468082</v>
      </c>
      <c r="W198" s="19" t="n">
        <f aca="false">IFERROR(0.3*D198+0.6*I198+0.1*N198,0)</f>
        <v>-0.00439633315574664</v>
      </c>
    </row>
    <row r="199" customFormat="false" ht="12.75" hidden="false" customHeight="true" outlineLevel="0" collapsed="false">
      <c r="B199" s="17" t="n">
        <f aca="false">IFERROR(__xludf.dummyfunction("""COMPUTED_VALUE"""),46217.6666666666)</f>
        <v>46217.6666666666</v>
      </c>
      <c r="C199" s="18" t="n">
        <f aca="false">IFERROR(__xludf.dummyfunction("""COMPUTED_VALUE"""),52.79)</f>
        <v>52.79</v>
      </c>
      <c r="D199" s="19" t="n">
        <f aca="false">IFERROR(C199/C198-1,0)</f>
        <v>0.000948047023132226</v>
      </c>
      <c r="E199" s="20"/>
      <c r="G199" s="17" t="n">
        <f aca="false">IFERROR(__xludf.dummyfunction("""COMPUTED_VALUE"""),46217.6666666666)</f>
        <v>46217.6666666666</v>
      </c>
      <c r="H199" s="18" t="n">
        <f aca="false">IFERROR(__xludf.dummyfunction("""COMPUTED_VALUE"""),13.69)</f>
        <v>13.69</v>
      </c>
      <c r="I199" s="19" t="n">
        <f aca="false">IFERROR(H199/H198-1,0)</f>
        <v>-0.000729927007299236</v>
      </c>
      <c r="J199" s="20"/>
      <c r="L199" s="17" t="n">
        <f aca="false">IFERROR(__xludf.dummyfunction("""COMPUTED_VALUE"""),46217.6666666666)</f>
        <v>46217.6666666666</v>
      </c>
      <c r="M199" s="18" t="n">
        <f aca="false">IFERROR(__xludf.dummyfunction("""COMPUTED_VALUE"""),30.83)</f>
        <v>30.83</v>
      </c>
      <c r="N199" s="19" t="n">
        <f aca="false">IFERROR(M199/M198-1,0)</f>
        <v>0.0131449227735787</v>
      </c>
      <c r="V199" s="19" t="n">
        <f aca="false">IFERROR((D199+I199+N199)/3,0)</f>
        <v>0.00445434759647057</v>
      </c>
      <c r="W199" s="19" t="n">
        <f aca="false">IFERROR(0.3*D199+0.6*I199+0.1*N199,0)</f>
        <v>0.001160950179918</v>
      </c>
    </row>
    <row r="200" customFormat="false" ht="12.75" hidden="false" customHeight="true" outlineLevel="0" collapsed="false">
      <c r="B200" s="17" t="n">
        <f aca="false">IFERROR(__xludf.dummyfunction("""COMPUTED_VALUE"""),46218.6666666666)</f>
        <v>46218.6666666666</v>
      </c>
      <c r="C200" s="18" t="n">
        <f aca="false">IFERROR(__xludf.dummyfunction("""COMPUTED_VALUE"""),52.97)</f>
        <v>52.97</v>
      </c>
      <c r="D200" s="19" t="n">
        <f aca="false">IFERROR(C200/C199-1,0)</f>
        <v>0.0034097366925554</v>
      </c>
      <c r="E200" s="20"/>
      <c r="G200" s="17" t="n">
        <f aca="false">IFERROR(__xludf.dummyfunction("""COMPUTED_VALUE"""),46218.6666666666)</f>
        <v>46218.6666666666</v>
      </c>
      <c r="H200" s="18" t="n">
        <f aca="false">IFERROR(__xludf.dummyfunction("""COMPUTED_VALUE"""),13.72)</f>
        <v>13.72</v>
      </c>
      <c r="I200" s="19" t="n">
        <f aca="false">IFERROR(H200/H199-1,0)</f>
        <v>0.00219138056975909</v>
      </c>
      <c r="J200" s="20"/>
      <c r="L200" s="17" t="n">
        <f aca="false">IFERROR(__xludf.dummyfunction("""COMPUTED_VALUE"""),46218.6666666666)</f>
        <v>46218.6666666666</v>
      </c>
      <c r="M200" s="18" t="n">
        <f aca="false">IFERROR(__xludf.dummyfunction("""COMPUTED_VALUE"""),30.83)</f>
        <v>30.83</v>
      </c>
      <c r="N200" s="19" t="n">
        <f aca="false">IFERROR(M200/M199-1,0)</f>
        <v>0</v>
      </c>
      <c r="V200" s="19" t="n">
        <f aca="false">IFERROR((D200+I200+N200)/3,0)</f>
        <v>0.00186703908743816</v>
      </c>
      <c r="W200" s="19" t="n">
        <f aca="false">IFERROR(0.3*D200+0.6*I200+0.1*N200,0)</f>
        <v>0.00233774934962208</v>
      </c>
    </row>
    <row r="201" customFormat="false" ht="12.75" hidden="false" customHeight="true" outlineLevel="0" collapsed="false">
      <c r="B201" s="17" t="n">
        <f aca="false">IFERROR(__xludf.dummyfunction("""COMPUTED_VALUE"""),46219.6666666666)</f>
        <v>46219.6666666666</v>
      </c>
      <c r="C201" s="18" t="n">
        <f aca="false">IFERROR(__xludf.dummyfunction("""COMPUTED_VALUE"""),52.98)</f>
        <v>52.98</v>
      </c>
      <c r="D201" s="19" t="n">
        <f aca="false">IFERROR(C201/C200-1,0)</f>
        <v>0.000188786105342675</v>
      </c>
      <c r="E201" s="20"/>
      <c r="G201" s="17" t="n">
        <f aca="false">IFERROR(__xludf.dummyfunction("""COMPUTED_VALUE"""),46219.6666666666)</f>
        <v>46219.6666666666</v>
      </c>
      <c r="H201" s="18" t="n">
        <f aca="false">IFERROR(__xludf.dummyfunction("""COMPUTED_VALUE"""),13.73)</f>
        <v>13.73</v>
      </c>
      <c r="I201" s="19" t="n">
        <f aca="false">IFERROR(H201/H200-1,0)</f>
        <v>0.000728862973760958</v>
      </c>
      <c r="J201" s="20"/>
      <c r="L201" s="17" t="n">
        <f aca="false">IFERROR(__xludf.dummyfunction("""COMPUTED_VALUE"""),46219.6666666666)</f>
        <v>46219.6666666666</v>
      </c>
      <c r="M201" s="18" t="n">
        <f aca="false">IFERROR(__xludf.dummyfunction("""COMPUTED_VALUE"""),30.25)</f>
        <v>30.25</v>
      </c>
      <c r="N201" s="19" t="n">
        <f aca="false">IFERROR(M201/M200-1,0)</f>
        <v>-0.0188128446318521</v>
      </c>
      <c r="V201" s="19" t="n">
        <f aca="false">IFERROR((D201+I201+N201)/3,0)</f>
        <v>-0.00596506518424948</v>
      </c>
      <c r="W201" s="19" t="n">
        <f aca="false">IFERROR(0.3*D201+0.6*I201+0.1*N201,0)</f>
        <v>-0.00138733084732583</v>
      </c>
    </row>
    <row r="202" customFormat="false" ht="12.75" hidden="false" customHeight="true" outlineLevel="0" collapsed="false">
      <c r="B202" s="17" t="n">
        <f aca="false">IFERROR(__xludf.dummyfunction("""COMPUTED_VALUE"""),46220.6666666666)</f>
        <v>46220.6666666666</v>
      </c>
      <c r="C202" s="18" t="n">
        <f aca="false">IFERROR(__xludf.dummyfunction("""COMPUTED_VALUE"""),52.83)</f>
        <v>52.83</v>
      </c>
      <c r="D202" s="19" t="n">
        <f aca="false">IFERROR(C202/C201-1,0)</f>
        <v>-0.00283125707814269</v>
      </c>
      <c r="E202" s="20"/>
      <c r="G202" s="17" t="n">
        <f aca="false">IFERROR(__xludf.dummyfunction("""COMPUTED_VALUE"""),46220.6666666666)</f>
        <v>46220.6666666666</v>
      </c>
      <c r="H202" s="18" t="n">
        <f aca="false">IFERROR(__xludf.dummyfunction("""COMPUTED_VALUE"""),13.69)</f>
        <v>13.69</v>
      </c>
      <c r="I202" s="19" t="n">
        <f aca="false">IFERROR(H202/H201-1,0)</f>
        <v>-0.00291332847778591</v>
      </c>
      <c r="J202" s="20"/>
      <c r="L202" s="17" t="n">
        <f aca="false">IFERROR(__xludf.dummyfunction("""COMPUTED_VALUE"""),46220.6666666666)</f>
        <v>46220.6666666666</v>
      </c>
      <c r="M202" s="18" t="n">
        <f aca="false">IFERROR(__xludf.dummyfunction("""COMPUTED_VALUE"""),30.5)</f>
        <v>30.5</v>
      </c>
      <c r="N202" s="19" t="n">
        <f aca="false">IFERROR(M202/M201-1,0)</f>
        <v>0.00826446280991733</v>
      </c>
      <c r="V202" s="19" t="n">
        <f aca="false">IFERROR((D202+I202+N202)/3,0)</f>
        <v>0.000839959084662908</v>
      </c>
      <c r="W202" s="19" t="n">
        <f aca="false">IFERROR(0.3*D202+0.6*I202+0.1*N202,0)</f>
        <v>-0.00177092792912262</v>
      </c>
    </row>
    <row r="203" customFormat="false" ht="12.75" hidden="false" customHeight="true" outlineLevel="0" collapsed="false">
      <c r="B203" s="17" t="n">
        <f aca="false">IFERROR(__xludf.dummyfunction("""COMPUTED_VALUE"""),46223.6666666666)</f>
        <v>46223.6666666666</v>
      </c>
      <c r="C203" s="18" t="n">
        <f aca="false">IFERROR(__xludf.dummyfunction("""COMPUTED_VALUE"""),52.3)</f>
        <v>52.3</v>
      </c>
      <c r="D203" s="19" t="n">
        <f aca="false">IFERROR(C203/C202-1,0)</f>
        <v>-0.0100321786863524</v>
      </c>
      <c r="E203" s="20"/>
      <c r="G203" s="17" t="n">
        <f aca="false">IFERROR(__xludf.dummyfunction("""COMPUTED_VALUE"""),46223.6666666666)</f>
        <v>46223.6666666666</v>
      </c>
      <c r="H203" s="18" t="n">
        <f aca="false">IFERROR(__xludf.dummyfunction("""COMPUTED_VALUE"""),13.7)</f>
        <v>13.7</v>
      </c>
      <c r="I203" s="19" t="n">
        <f aca="false">IFERROR(H203/H202-1,0)</f>
        <v>0.000730460189919624</v>
      </c>
      <c r="J203" s="20"/>
      <c r="L203" s="17" t="n">
        <f aca="false">IFERROR(__xludf.dummyfunction("""COMPUTED_VALUE"""),46223.6666666666)</f>
        <v>46223.6666666666</v>
      </c>
      <c r="M203" s="18" t="n">
        <f aca="false">IFERROR(__xludf.dummyfunction("""COMPUTED_VALUE"""),30.45)</f>
        <v>30.45</v>
      </c>
      <c r="N203" s="19" t="n">
        <f aca="false">IFERROR(M203/M202-1,0)</f>
        <v>-0.00163934426229506</v>
      </c>
      <c r="V203" s="19" t="n">
        <f aca="false">IFERROR((D203+I203+N203)/3,0)</f>
        <v>-0.00364702091957595</v>
      </c>
      <c r="W203" s="19" t="n">
        <f aca="false">IFERROR(0.3*D203+0.6*I203+0.1*N203,0)</f>
        <v>-0.00273531191818346</v>
      </c>
    </row>
    <row r="204" customFormat="false" ht="12.75" hidden="false" customHeight="true" outlineLevel="0" collapsed="false">
      <c r="B204" s="17" t="n">
        <f aca="false">IFERROR(__xludf.dummyfunction("""COMPUTED_VALUE"""),46224.6666666666)</f>
        <v>46224.6666666666</v>
      </c>
      <c r="C204" s="18" t="n">
        <f aca="false">IFERROR(__xludf.dummyfunction("""COMPUTED_VALUE"""),52.75)</f>
        <v>52.75</v>
      </c>
      <c r="D204" s="19" t="n">
        <f aca="false">IFERROR(C204/C203-1,0)</f>
        <v>0.00860420650095617</v>
      </c>
      <c r="E204" s="20"/>
      <c r="G204" s="17" t="n">
        <f aca="false">IFERROR(__xludf.dummyfunction("""COMPUTED_VALUE"""),46224.6666666666)</f>
        <v>46224.6666666666</v>
      </c>
      <c r="H204" s="18" t="n">
        <f aca="false">IFERROR(__xludf.dummyfunction("""COMPUTED_VALUE"""),13.71)</f>
        <v>13.71</v>
      </c>
      <c r="I204" s="19" t="n">
        <f aca="false">IFERROR(H204/H203-1,0)</f>
        <v>0.000729927007299347</v>
      </c>
      <c r="J204" s="20"/>
      <c r="L204" s="17" t="n">
        <f aca="false">IFERROR(__xludf.dummyfunction("""COMPUTED_VALUE"""),46224.6666666666)</f>
        <v>46224.6666666666</v>
      </c>
      <c r="M204" s="18" t="n">
        <f aca="false">IFERROR(__xludf.dummyfunction("""COMPUTED_VALUE"""),31.02)</f>
        <v>31.02</v>
      </c>
      <c r="N204" s="19" t="n">
        <f aca="false">IFERROR(M204/M203-1,0)</f>
        <v>0.01871921182266</v>
      </c>
      <c r="V204" s="19" t="n">
        <f aca="false">IFERROR((D204+I204+N204)/3,0)</f>
        <v>0.00935111511030518</v>
      </c>
      <c r="W204" s="19" t="n">
        <f aca="false">IFERROR(0.3*D204+0.6*I204+0.1*N204,0)</f>
        <v>0.00489113933693246</v>
      </c>
    </row>
    <row r="205" customFormat="false" ht="12.75" hidden="false" customHeight="true" outlineLevel="0" collapsed="false">
      <c r="B205" s="17" t="n">
        <f aca="false">IFERROR(__xludf.dummyfunction("""COMPUTED_VALUE"""),46225.6666666666)</f>
        <v>46225.6666666666</v>
      </c>
      <c r="C205" s="18" t="n">
        <f aca="false">IFERROR(__xludf.dummyfunction("""COMPUTED_VALUE"""),52.83)</f>
        <v>52.83</v>
      </c>
      <c r="D205" s="19" t="n">
        <f aca="false">IFERROR(C205/C204-1,0)</f>
        <v>0.001516587677725</v>
      </c>
      <c r="E205" s="20"/>
      <c r="G205" s="17" t="n">
        <f aca="false">IFERROR(__xludf.dummyfunction("""COMPUTED_VALUE"""),46225.6666666666)</f>
        <v>46225.6666666666</v>
      </c>
      <c r="H205" s="18" t="n">
        <f aca="false">IFERROR(__xludf.dummyfunction("""COMPUTED_VALUE"""),13.67)</f>
        <v>13.67</v>
      </c>
      <c r="I205" s="19" t="n">
        <f aca="false">IFERROR(H205/H204-1,0)</f>
        <v>-0.0029175784099198</v>
      </c>
      <c r="J205" s="20"/>
      <c r="L205" s="17" t="n">
        <f aca="false">IFERROR(__xludf.dummyfunction("""COMPUTED_VALUE"""),46225.6666666666)</f>
        <v>46225.6666666666</v>
      </c>
      <c r="M205" s="18" t="n">
        <f aca="false">IFERROR(__xludf.dummyfunction("""COMPUTED_VALUE"""),31.37)</f>
        <v>31.37</v>
      </c>
      <c r="N205" s="19" t="n">
        <f aca="false">IFERROR(M205/M204-1,0)</f>
        <v>0.0112830431979369</v>
      </c>
      <c r="V205" s="19" t="n">
        <f aca="false">IFERROR((D205+I205+N205)/3,0)</f>
        <v>0.00329401748858071</v>
      </c>
      <c r="W205" s="19" t="n">
        <f aca="false">IFERROR(0.3*D205+0.6*I205+0.1*N205,0)</f>
        <v>-0.000167266422840684</v>
      </c>
    </row>
    <row r="206" customFormat="false" ht="12.75" hidden="false" customHeight="true" outlineLevel="0" collapsed="false">
      <c r="B206" s="17" t="n">
        <f aca="false">IFERROR(__xludf.dummyfunction("""COMPUTED_VALUE"""),46226.6666666666)</f>
        <v>46226.6666666666</v>
      </c>
      <c r="C206" s="18" t="n">
        <f aca="false">IFERROR(__xludf.dummyfunction("""COMPUTED_VALUE"""),52.43)</f>
        <v>52.43</v>
      </c>
      <c r="D206" s="19" t="n">
        <f aca="false">IFERROR(C206/C205-1,0)</f>
        <v>-0.0075714556123414</v>
      </c>
      <c r="E206" s="20"/>
      <c r="G206" s="17" t="n">
        <f aca="false">IFERROR(__xludf.dummyfunction("""COMPUTED_VALUE"""),46226.6666666666)</f>
        <v>46226.6666666666</v>
      </c>
      <c r="H206" s="18" t="n">
        <f aca="false">IFERROR(__xludf.dummyfunction("""COMPUTED_VALUE"""),13.62)</f>
        <v>13.62</v>
      </c>
      <c r="I206" s="19" t="n">
        <f aca="false">IFERROR(H206/H205-1,0)</f>
        <v>-0.00365764447695693</v>
      </c>
      <c r="J206" s="20"/>
      <c r="L206" s="17" t="n">
        <f aca="false">IFERROR(__xludf.dummyfunction("""COMPUTED_VALUE"""),46226.6666666666)</f>
        <v>46226.6666666666</v>
      </c>
      <c r="M206" s="18" t="n">
        <f aca="false">IFERROR(__xludf.dummyfunction("""COMPUTED_VALUE"""),30.77)</f>
        <v>30.77</v>
      </c>
      <c r="N206" s="19" t="n">
        <f aca="false">IFERROR(M206/M205-1,0)</f>
        <v>-0.0191265540325152</v>
      </c>
      <c r="V206" s="19" t="n">
        <f aca="false">IFERROR((D206+I206+N206)/3,0)</f>
        <v>-0.0101185513739378</v>
      </c>
      <c r="W206" s="19" t="n">
        <f aca="false">IFERROR(0.3*D206+0.6*I206+0.1*N206,0)</f>
        <v>-0.0063786787731281</v>
      </c>
    </row>
    <row r="207" customFormat="false" ht="12.75" hidden="false" customHeight="true" outlineLevel="0" collapsed="false">
      <c r="B207" s="17" t="n">
        <f aca="false">IFERROR(__xludf.dummyfunction("""COMPUTED_VALUE"""),46227.6666666666)</f>
        <v>46227.6666666666</v>
      </c>
      <c r="C207" s="18" t="n">
        <f aca="false">IFERROR(__xludf.dummyfunction("""COMPUTED_VALUE"""),52.74)</f>
        <v>52.74</v>
      </c>
      <c r="D207" s="19" t="n">
        <f aca="false">IFERROR(C207/C206-1,0)</f>
        <v>0.00591264543200465</v>
      </c>
      <c r="E207" s="20"/>
      <c r="G207" s="17" t="n">
        <f aca="false">IFERROR(__xludf.dummyfunction("""COMPUTED_VALUE"""),46227.6666666666)</f>
        <v>46227.6666666666</v>
      </c>
      <c r="H207" s="18" t="n">
        <f aca="false">IFERROR(__xludf.dummyfunction("""COMPUTED_VALUE"""),13.68)</f>
        <v>13.68</v>
      </c>
      <c r="I207" s="19" t="n">
        <f aca="false">IFERROR(H207/H206-1,0)</f>
        <v>0.00440528634361237</v>
      </c>
      <c r="J207" s="20"/>
      <c r="L207" s="17" t="n">
        <f aca="false">IFERROR(__xludf.dummyfunction("""COMPUTED_VALUE"""),46227.6666666666)</f>
        <v>46227.6666666666</v>
      </c>
      <c r="M207" s="18" t="n">
        <f aca="false">IFERROR(__xludf.dummyfunction("""COMPUTED_VALUE"""),30.78)</f>
        <v>30.78</v>
      </c>
      <c r="N207" s="19" t="n">
        <f aca="false">IFERROR(M207/M206-1,0)</f>
        <v>0.000324991875203073</v>
      </c>
      <c r="V207" s="19" t="n">
        <f aca="false">IFERROR((D207+I207+N207)/3,0)</f>
        <v>0.00354764121694003</v>
      </c>
      <c r="W207" s="19" t="n">
        <f aca="false">IFERROR(0.3*D207+0.6*I207+0.1*N207,0)</f>
        <v>0.00444946462328912</v>
      </c>
    </row>
    <row r="208" customFormat="false" ht="12.75" hidden="false" customHeight="true" outlineLevel="0" collapsed="false">
      <c r="B208" s="17" t="n">
        <f aca="false">IFERROR(__xludf.dummyfunction("""COMPUTED_VALUE"""),46230.6666666666)</f>
        <v>46230.6666666666</v>
      </c>
      <c r="C208" s="18" t="n">
        <f aca="false">IFERROR(__xludf.dummyfunction("""COMPUTED_VALUE"""),53.15)</f>
        <v>53.15</v>
      </c>
      <c r="D208" s="19" t="n">
        <f aca="false">IFERROR(C208/C207-1,0)</f>
        <v>0.00777398558968523</v>
      </c>
      <c r="E208" s="20"/>
      <c r="G208" s="17" t="n">
        <f aca="false">IFERROR(__xludf.dummyfunction("""COMPUTED_VALUE"""),46230.6666666666)</f>
        <v>46230.6666666666</v>
      </c>
      <c r="H208" s="18" t="n">
        <f aca="false">IFERROR(__xludf.dummyfunction("""COMPUTED_VALUE"""),13.72)</f>
        <v>13.72</v>
      </c>
      <c r="I208" s="19" t="n">
        <f aca="false">IFERROR(H208/H207-1,0)</f>
        <v>0.00292397660818722</v>
      </c>
      <c r="J208" s="20"/>
      <c r="L208" s="17" t="n">
        <f aca="false">IFERROR(__xludf.dummyfunction("""COMPUTED_VALUE"""),46230.6666666666)</f>
        <v>46230.6666666666</v>
      </c>
      <c r="M208" s="18" t="n">
        <f aca="false">IFERROR(__xludf.dummyfunction("""COMPUTED_VALUE"""),31.02)</f>
        <v>31.02</v>
      </c>
      <c r="N208" s="19" t="n">
        <f aca="false">IFERROR(M208/M207-1,0)</f>
        <v>0.00779727095516569</v>
      </c>
      <c r="V208" s="19" t="n">
        <f aca="false">IFERROR((D208+I208+N208)/3,0)</f>
        <v>0.00616507771767938</v>
      </c>
      <c r="W208" s="19" t="n">
        <f aca="false">IFERROR(0.3*D208+0.6*I208+0.1*N208,0)</f>
        <v>0.00486630873733447</v>
      </c>
    </row>
    <row r="209" customFormat="false" ht="12.75" hidden="false" customHeight="true" outlineLevel="0" collapsed="false">
      <c r="B209" s="17" t="n">
        <f aca="false">IFERROR(__xludf.dummyfunction("""COMPUTED_VALUE"""),46231.6666666666)</f>
        <v>46231.6666666666</v>
      </c>
      <c r="C209" s="18" t="n">
        <f aca="false">IFERROR(__xludf.dummyfunction("""COMPUTED_VALUE"""),53.57)</f>
        <v>53.57</v>
      </c>
      <c r="D209" s="19" t="n">
        <f aca="false">IFERROR(C209/C208-1,0)</f>
        <v>0.00790216368767638</v>
      </c>
      <c r="E209" s="20"/>
      <c r="G209" s="17" t="n">
        <f aca="false">IFERROR(__xludf.dummyfunction("""COMPUTED_VALUE"""),46231.6666666666)</f>
        <v>46231.6666666666</v>
      </c>
      <c r="H209" s="18" t="n">
        <f aca="false">IFERROR(__xludf.dummyfunction("""COMPUTED_VALUE"""),13.75)</f>
        <v>13.75</v>
      </c>
      <c r="I209" s="19" t="n">
        <f aca="false">IFERROR(H209/H208-1,0)</f>
        <v>0.00218658892128265</v>
      </c>
      <c r="J209" s="20"/>
      <c r="L209" s="17" t="n">
        <f aca="false">IFERROR(__xludf.dummyfunction("""COMPUTED_VALUE"""),46231.6666666666)</f>
        <v>46231.6666666666</v>
      </c>
      <c r="M209" s="18" t="n">
        <f aca="false">IFERROR(__xludf.dummyfunction("""COMPUTED_VALUE"""),30.58)</f>
        <v>30.58</v>
      </c>
      <c r="N209" s="19" t="n">
        <f aca="false">IFERROR(M209/M208-1,0)</f>
        <v>-0.0141843971631206</v>
      </c>
      <c r="V209" s="19" t="n">
        <f aca="false">IFERROR((D209+I209+N209)/3,0)</f>
        <v>-0.00136521485138719</v>
      </c>
      <c r="W209" s="19" t="n">
        <f aca="false">IFERROR(0.3*D209+0.6*I209+0.1*N209,0)</f>
        <v>0.00226416274276045</v>
      </c>
    </row>
    <row r="210" customFormat="false" ht="12.75" hidden="false" customHeight="true" outlineLevel="0" collapsed="false">
      <c r="B210" s="17" t="n">
        <f aca="false">IFERROR(__xludf.dummyfunction("""COMPUTED_VALUE"""),46232.6666666666)</f>
        <v>46232.6666666666</v>
      </c>
      <c r="C210" s="18" t="n">
        <f aca="false">IFERROR(__xludf.dummyfunction("""COMPUTED_VALUE"""),52.91)</f>
        <v>52.91</v>
      </c>
      <c r="D210" s="19" t="n">
        <f aca="false">IFERROR(C210/C209-1,0)</f>
        <v>-0.0123203285420945</v>
      </c>
      <c r="E210" s="20"/>
      <c r="G210" s="17" t="n">
        <f aca="false">IFERROR(__xludf.dummyfunction("""COMPUTED_VALUE"""),46232.6666666666)</f>
        <v>46232.6666666666</v>
      </c>
      <c r="H210" s="18" t="n">
        <f aca="false">IFERROR(__xludf.dummyfunction("""COMPUTED_VALUE"""),13.68)</f>
        <v>13.68</v>
      </c>
      <c r="I210" s="19" t="n">
        <f aca="false">IFERROR(H210/H209-1,0)</f>
        <v>-0.00509090909090915</v>
      </c>
      <c r="J210" s="20"/>
      <c r="L210" s="17" t="n">
        <f aca="false">IFERROR(__xludf.dummyfunction("""COMPUTED_VALUE"""),46232.6666666666)</f>
        <v>46232.6666666666</v>
      </c>
      <c r="M210" s="18" t="n">
        <f aca="false">IFERROR(__xludf.dummyfunction("""COMPUTED_VALUE"""),30.74)</f>
        <v>30.74</v>
      </c>
      <c r="N210" s="19" t="n">
        <f aca="false">IFERROR(M210/M209-1,0)</f>
        <v>0.00523217789404851</v>
      </c>
      <c r="V210" s="19" t="n">
        <f aca="false">IFERROR((D210+I210+N210)/3,0)</f>
        <v>-0.00405968657965172</v>
      </c>
      <c r="W210" s="19" t="n">
        <f aca="false">IFERROR(0.3*D210+0.6*I210+0.1*N210,0)</f>
        <v>-0.006227426227769</v>
      </c>
    </row>
    <row r="211" customFormat="false" ht="12.75" hidden="false" customHeight="true" outlineLevel="0" collapsed="false">
      <c r="B211" s="17" t="n">
        <f aca="false">IFERROR(__xludf.dummyfunction("""COMPUTED_VALUE"""),46233.6666666666)</f>
        <v>46233.6666666666</v>
      </c>
      <c r="C211" s="18" t="n">
        <f aca="false">IFERROR(__xludf.dummyfunction("""COMPUTED_VALUE"""),53.14)</f>
        <v>53.14</v>
      </c>
      <c r="D211" s="19" t="n">
        <f aca="false">IFERROR(C211/C210-1,0)</f>
        <v>0.00434700434700441</v>
      </c>
      <c r="E211" s="20"/>
      <c r="G211" s="17" t="n">
        <f aca="false">IFERROR(__xludf.dummyfunction("""COMPUTED_VALUE"""),46233.6666666666)</f>
        <v>46233.6666666666</v>
      </c>
      <c r="H211" s="18" t="n">
        <f aca="false">IFERROR(__xludf.dummyfunction("""COMPUTED_VALUE"""),13.66)</f>
        <v>13.66</v>
      </c>
      <c r="I211" s="19" t="n">
        <f aca="false">IFERROR(H211/H210-1,0)</f>
        <v>-0.0014619883040935</v>
      </c>
      <c r="J211" s="20"/>
      <c r="L211" s="17" t="n">
        <f aca="false">IFERROR(__xludf.dummyfunction("""COMPUTED_VALUE"""),46233.6666666666)</f>
        <v>46233.6666666666</v>
      </c>
      <c r="M211" s="18" t="n">
        <f aca="false">IFERROR(__xludf.dummyfunction("""COMPUTED_VALUE"""),31.24)</f>
        <v>31.24</v>
      </c>
      <c r="N211" s="19" t="n">
        <f aca="false">IFERROR(M211/M210-1,0)</f>
        <v>0.0162654521795707</v>
      </c>
      <c r="V211" s="19" t="n">
        <f aca="false">IFERROR((D211+I211+N211)/3,0)</f>
        <v>0.00638348940749386</v>
      </c>
      <c r="W211" s="19" t="n">
        <f aca="false">IFERROR(0.3*D211+0.6*I211+0.1*N211,0)</f>
        <v>0.00205345353960229</v>
      </c>
    </row>
    <row r="212" customFormat="false" ht="12.75" hidden="false" customHeight="true" outlineLevel="0" collapsed="false">
      <c r="B212" s="17" t="n">
        <f aca="false">IFERROR(__xludf.dummyfunction("""COMPUTED_VALUE"""),46234.6666666666)</f>
        <v>46234.6666666666</v>
      </c>
      <c r="C212" s="18" t="n">
        <f aca="false">IFERROR(__xludf.dummyfunction("""COMPUTED_VALUE"""),52.76)</f>
        <v>52.76</v>
      </c>
      <c r="D212" s="19" t="n">
        <f aca="false">IFERROR(C212/C211-1,0)</f>
        <v>-0.00715092209258572</v>
      </c>
      <c r="E212" s="20"/>
      <c r="G212" s="17" t="n">
        <f aca="false">IFERROR(__xludf.dummyfunction("""COMPUTED_VALUE"""),46234.6666666666)</f>
        <v>46234.6666666666</v>
      </c>
      <c r="H212" s="18" t="n">
        <f aca="false">IFERROR(__xludf.dummyfunction("""COMPUTED_VALUE"""),13.62)</f>
        <v>13.62</v>
      </c>
      <c r="I212" s="19" t="n">
        <f aca="false">IFERROR(H212/H211-1,0)</f>
        <v>-0.00292825768667648</v>
      </c>
      <c r="J212" s="20"/>
      <c r="L212" s="17" t="n">
        <f aca="false">IFERROR(__xludf.dummyfunction("""COMPUTED_VALUE"""),46234.6666666666)</f>
        <v>46234.6666666666</v>
      </c>
      <c r="M212" s="18" t="n">
        <f aca="false">IFERROR(__xludf.dummyfunction("""COMPUTED_VALUE"""),30.75)</f>
        <v>30.75</v>
      </c>
      <c r="N212" s="19" t="n">
        <f aca="false">IFERROR(M212/M211-1,0)</f>
        <v>-0.015685019206146</v>
      </c>
      <c r="V212" s="19" t="n">
        <f aca="false">IFERROR((D212+I212+N212)/3,0)</f>
        <v>-0.00858806632846939</v>
      </c>
      <c r="W212" s="19" t="n">
        <f aca="false">IFERROR(0.3*D212+0.6*I212+0.1*N212,0)</f>
        <v>-0.0054707331603962</v>
      </c>
    </row>
    <row r="213" customFormat="false" ht="12.75" hidden="false" customHeight="true" outlineLevel="0" collapsed="false">
      <c r="B213" s="17" t="n">
        <f aca="false">IFERROR(__xludf.dummyfunction("""COMPUTED_VALUE"""),46238.6666666666)</f>
        <v>46238.6666666666</v>
      </c>
      <c r="C213" s="18" t="n">
        <f aca="false">IFERROR(__xludf.dummyfunction("""COMPUTED_VALUE"""),53.41)</f>
        <v>53.41</v>
      </c>
      <c r="D213" s="19" t="n">
        <f aca="false">IFERROR(C213/C212-1,0)</f>
        <v>0.0123199393479909</v>
      </c>
      <c r="E213" s="20"/>
      <c r="G213" s="17" t="n">
        <f aca="false">IFERROR(__xludf.dummyfunction("""COMPUTED_VALUE"""),46238.6666666666)</f>
        <v>46238.6666666666</v>
      </c>
      <c r="H213" s="18" t="n">
        <f aca="false">IFERROR(__xludf.dummyfunction("""COMPUTED_VALUE"""),13.69)</f>
        <v>13.69</v>
      </c>
      <c r="I213" s="19" t="n">
        <f aca="false">IFERROR(H213/H212-1,0)</f>
        <v>0.00513950073421432</v>
      </c>
      <c r="J213" s="20"/>
      <c r="L213" s="17" t="n">
        <f aca="false">IFERROR(__xludf.dummyfunction("""COMPUTED_VALUE"""),46238.6666666666)</f>
        <v>46238.6666666666</v>
      </c>
      <c r="M213" s="18" t="n">
        <f aca="false">IFERROR(__xludf.dummyfunction("""COMPUTED_VALUE"""),30.9)</f>
        <v>30.9</v>
      </c>
      <c r="N213" s="19" t="n">
        <f aca="false">IFERROR(M213/M212-1,0)</f>
        <v>0.00487804878048781</v>
      </c>
      <c r="V213" s="19" t="n">
        <f aca="false">IFERROR((D213+I213+N213)/3,0)</f>
        <v>0.00744582962089768</v>
      </c>
      <c r="W213" s="19" t="n">
        <f aca="false">IFERROR(0.3*D213+0.6*I213+0.1*N213,0)</f>
        <v>0.00726748712297465</v>
      </c>
    </row>
    <row r="214" customFormat="false" ht="12.75" hidden="false" customHeight="true" outlineLevel="0" collapsed="false">
      <c r="B214" s="17" t="n">
        <f aca="false">IFERROR(__xludf.dummyfunction("""COMPUTED_VALUE"""),46239.6666666666)</f>
        <v>46239.6666666666</v>
      </c>
      <c r="C214" s="18" t="n">
        <f aca="false">IFERROR(__xludf.dummyfunction("""COMPUTED_VALUE"""),53.94)</f>
        <v>53.94</v>
      </c>
      <c r="D214" s="19" t="n">
        <f aca="false">IFERROR(C214/C213-1,0)</f>
        <v>0.0099232353491856</v>
      </c>
      <c r="E214" s="20"/>
      <c r="G214" s="17" t="n">
        <f aca="false">IFERROR(__xludf.dummyfunction("""COMPUTED_VALUE"""),46239.6666666666)</f>
        <v>46239.6666666666</v>
      </c>
      <c r="H214" s="18" t="n">
        <f aca="false">IFERROR(__xludf.dummyfunction("""COMPUTED_VALUE"""),13.69)</f>
        <v>13.69</v>
      </c>
      <c r="I214" s="19" t="n">
        <f aca="false">IFERROR(H214/H213-1,0)</f>
        <v>0</v>
      </c>
      <c r="J214" s="20"/>
      <c r="L214" s="17" t="n">
        <f aca="false">IFERROR(__xludf.dummyfunction("""COMPUTED_VALUE"""),46239.6666666666)</f>
        <v>46239.6666666666</v>
      </c>
      <c r="M214" s="18" t="n">
        <f aca="false">IFERROR(__xludf.dummyfunction("""COMPUTED_VALUE"""),32.26)</f>
        <v>32.26</v>
      </c>
      <c r="N214" s="19" t="n">
        <f aca="false">IFERROR(M214/M213-1,0)</f>
        <v>0.0440129449838187</v>
      </c>
      <c r="V214" s="19" t="n">
        <f aca="false">IFERROR((D214+I214+N214)/3,0)</f>
        <v>0.0179787267776681</v>
      </c>
      <c r="W214" s="19" t="n">
        <f aca="false">IFERROR(0.3*D214+0.6*I214+0.1*N214,0)</f>
        <v>0.00737826510313755</v>
      </c>
    </row>
    <row r="215" customFormat="false" ht="12.75" hidden="false" customHeight="true" outlineLevel="0" collapsed="false">
      <c r="B215" s="17" t="n">
        <f aca="false">IFERROR(__xludf.dummyfunction("""COMPUTED_VALUE"""),46240.6666666666)</f>
        <v>46240.6666666666</v>
      </c>
      <c r="C215" s="18" t="n">
        <f aca="false">IFERROR(__xludf.dummyfunction("""COMPUTED_VALUE"""),53.96)</f>
        <v>53.96</v>
      </c>
      <c r="D215" s="19" t="n">
        <f aca="false">IFERROR(C215/C214-1,0)</f>
        <v>0.000370782350760157</v>
      </c>
      <c r="E215" s="20"/>
      <c r="G215" s="17" t="n">
        <f aca="false">IFERROR(__xludf.dummyfunction("""COMPUTED_VALUE"""),46240.6666666666)</f>
        <v>46240.6666666666</v>
      </c>
      <c r="H215" s="18" t="n">
        <f aca="false">IFERROR(__xludf.dummyfunction("""COMPUTED_VALUE"""),13.63)</f>
        <v>13.63</v>
      </c>
      <c r="I215" s="19" t="n">
        <f aca="false">IFERROR(H215/H214-1,0)</f>
        <v>-0.00438276113951785</v>
      </c>
      <c r="J215" s="20"/>
      <c r="L215" s="17" t="n">
        <f aca="false">IFERROR(__xludf.dummyfunction("""COMPUTED_VALUE"""),46240.6666666666)</f>
        <v>46240.6666666666</v>
      </c>
      <c r="M215" s="18" t="n">
        <f aca="false">IFERROR(__xludf.dummyfunction("""COMPUTED_VALUE"""),32.25)</f>
        <v>32.25</v>
      </c>
      <c r="N215" s="19" t="n">
        <f aca="false">IFERROR(M215/M214-1,0)</f>
        <v>-0.000309981401115822</v>
      </c>
      <c r="V215" s="19" t="n">
        <f aca="false">IFERROR((D215+I215+N215)/3,0)</f>
        <v>-0.00144065339662451</v>
      </c>
      <c r="W215" s="19" t="n">
        <f aca="false">IFERROR(0.3*D215+0.6*I215+0.1*N215,0)</f>
        <v>-0.00254942011859425</v>
      </c>
    </row>
    <row r="216" customFormat="false" ht="12.75" hidden="false" customHeight="true" outlineLevel="0" collapsed="false">
      <c r="B216" s="17" t="n">
        <f aca="false">IFERROR(__xludf.dummyfunction("""COMPUTED_VALUE"""),46241.6666666666)</f>
        <v>46241.6666666666</v>
      </c>
      <c r="C216" s="18" t="n">
        <f aca="false">IFERROR(__xludf.dummyfunction("""COMPUTED_VALUE"""),54.14)</f>
        <v>54.14</v>
      </c>
      <c r="D216" s="19" t="n">
        <f aca="false">IFERROR(C216/C215-1,0)</f>
        <v>0.0033358042994811</v>
      </c>
      <c r="E216" s="20"/>
      <c r="G216" s="17" t="n">
        <f aca="false">IFERROR(__xludf.dummyfunction("""COMPUTED_VALUE"""),46241.6666666666)</f>
        <v>46241.6666666666</v>
      </c>
      <c r="H216" s="18" t="n">
        <f aca="false">IFERROR(__xludf.dummyfunction("""COMPUTED_VALUE"""),13.61)</f>
        <v>13.61</v>
      </c>
      <c r="I216" s="19" t="n">
        <f aca="false">IFERROR(H216/H215-1,0)</f>
        <v>-0.00146735143066778</v>
      </c>
      <c r="J216" s="20"/>
      <c r="L216" s="17" t="n">
        <f aca="false">IFERROR(__xludf.dummyfunction("""COMPUTED_VALUE"""),46241.6666666666)</f>
        <v>46241.6666666666</v>
      </c>
      <c r="M216" s="18" t="n">
        <f aca="false">IFERROR(__xludf.dummyfunction("""COMPUTED_VALUE"""),33)</f>
        <v>33</v>
      </c>
      <c r="N216" s="19" t="n">
        <f aca="false">IFERROR(M216/M215-1,0)</f>
        <v>0.0232558139534884</v>
      </c>
      <c r="V216" s="19" t="n">
        <f aca="false">IFERROR((D216+I216+N216)/3,0)</f>
        <v>0.00837475560743391</v>
      </c>
      <c r="W216" s="19" t="n">
        <f aca="false">IFERROR(0.3*D216+0.6*I216+0.1*N216,0)</f>
        <v>0.0024459118267925</v>
      </c>
    </row>
    <row r="217" customFormat="false" ht="12.75" hidden="false" customHeight="true" outlineLevel="0" collapsed="false">
      <c r="B217" s="17" t="n">
        <f aca="false">IFERROR(__xludf.dummyfunction("""COMPUTED_VALUE"""),46244.6666666666)</f>
        <v>46244.6666666666</v>
      </c>
      <c r="C217" s="18" t="n">
        <f aca="false">IFERROR(__xludf.dummyfunction("""COMPUTED_VALUE"""),54.27)</f>
        <v>54.27</v>
      </c>
      <c r="D217" s="19" t="n">
        <f aca="false">IFERROR(C217/C216-1,0)</f>
        <v>0.00240118212042861</v>
      </c>
      <c r="E217" s="20"/>
      <c r="G217" s="17" t="n">
        <f aca="false">IFERROR(__xludf.dummyfunction("""COMPUTED_VALUE"""),46244.6666666666)</f>
        <v>46244.6666666666</v>
      </c>
      <c r="H217" s="18" t="n">
        <f aca="false">IFERROR(__xludf.dummyfunction("""COMPUTED_VALUE"""),13.55)</f>
        <v>13.55</v>
      </c>
      <c r="I217" s="19" t="n">
        <f aca="false">IFERROR(H217/H216-1,0)</f>
        <v>-0.00440852314474638</v>
      </c>
      <c r="J217" s="20"/>
      <c r="L217" s="17" t="n">
        <f aca="false">IFERROR(__xludf.dummyfunction("""COMPUTED_VALUE"""),46244.6666666666)</f>
        <v>46244.6666666666</v>
      </c>
      <c r="M217" s="18" t="n">
        <f aca="false">IFERROR(__xludf.dummyfunction("""COMPUTED_VALUE"""),33.31)</f>
        <v>33.31</v>
      </c>
      <c r="N217" s="19" t="n">
        <f aca="false">IFERROR(M217/M216-1,0)</f>
        <v>0.00939393939393951</v>
      </c>
      <c r="V217" s="19" t="n">
        <f aca="false">IFERROR((D217+I217+N217)/3,0)</f>
        <v>0.00246219945654058</v>
      </c>
      <c r="W217" s="19" t="n">
        <f aca="false">IFERROR(0.3*D217+0.6*I217+0.1*N217,0)</f>
        <v>-0.000985365311325293</v>
      </c>
    </row>
    <row r="218" customFormat="false" ht="12.75" hidden="false" customHeight="true" outlineLevel="0" collapsed="false">
      <c r="B218" s="17" t="n">
        <f aca="false">IFERROR(__xludf.dummyfunction("""COMPUTED_VALUE"""),46245.6666666666)</f>
        <v>46245.6666666666</v>
      </c>
      <c r="C218" s="18" t="n">
        <f aca="false">IFERROR(__xludf.dummyfunction("""COMPUTED_VALUE"""),54.28)</f>
        <v>54.28</v>
      </c>
      <c r="D218" s="19" t="n">
        <f aca="false">IFERROR(C218/C217-1,0)</f>
        <v>0.000184263865855794</v>
      </c>
      <c r="E218" s="20"/>
      <c r="G218" s="17" t="n">
        <f aca="false">IFERROR(__xludf.dummyfunction("""COMPUTED_VALUE"""),46245.6666666666)</f>
        <v>46245.6666666666</v>
      </c>
      <c r="H218" s="18" t="n">
        <f aca="false">IFERROR(__xludf.dummyfunction("""COMPUTED_VALUE"""),13.55)</f>
        <v>13.55</v>
      </c>
      <c r="I218" s="19" t="n">
        <f aca="false">IFERROR(H218/H217-1,0)</f>
        <v>0</v>
      </c>
      <c r="J218" s="20"/>
      <c r="L218" s="17" t="n">
        <f aca="false">IFERROR(__xludf.dummyfunction("""COMPUTED_VALUE"""),46245.6666666666)</f>
        <v>46245.6666666666</v>
      </c>
      <c r="M218" s="18" t="n">
        <f aca="false">IFERROR(__xludf.dummyfunction("""COMPUTED_VALUE"""),33.19)</f>
        <v>33.19</v>
      </c>
      <c r="N218" s="19" t="n">
        <f aca="false">IFERROR(M218/M217-1,0)</f>
        <v>-0.00360252176523579</v>
      </c>
      <c r="V218" s="19" t="n">
        <f aca="false">IFERROR((D218+I218+N218)/3,0)</f>
        <v>-0.00113941929979333</v>
      </c>
      <c r="W218" s="19" t="n">
        <f aca="false">IFERROR(0.3*D218+0.6*I218+0.1*N218,0)</f>
        <v>-0.000304973016766841</v>
      </c>
    </row>
    <row r="219" customFormat="false" ht="12.75" hidden="false" customHeight="true" outlineLevel="0" collapsed="false">
      <c r="B219" s="17" t="n">
        <f aca="false">IFERROR(__xludf.dummyfunction("""COMPUTED_VALUE"""),46246.6666666666)</f>
        <v>46246.6666666666</v>
      </c>
      <c r="C219" s="18" t="n">
        <f aca="false">IFERROR(__xludf.dummyfunction("""COMPUTED_VALUE"""),54.58)</f>
        <v>54.58</v>
      </c>
      <c r="D219" s="19" t="n">
        <f aca="false">IFERROR(C219/C218-1,0)</f>
        <v>0.00552689756816505</v>
      </c>
      <c r="E219" s="20"/>
      <c r="G219" s="17" t="n">
        <f aca="false">IFERROR(__xludf.dummyfunction("""COMPUTED_VALUE"""),46246.6666666666)</f>
        <v>46246.6666666666</v>
      </c>
      <c r="H219" s="18" t="n">
        <f aca="false">IFERROR(__xludf.dummyfunction("""COMPUTED_VALUE"""),13.58)</f>
        <v>13.58</v>
      </c>
      <c r="I219" s="19" t="n">
        <f aca="false">IFERROR(H219/H218-1,0)</f>
        <v>0.00221402214022137</v>
      </c>
      <c r="J219" s="20"/>
      <c r="L219" s="17" t="n">
        <f aca="false">IFERROR(__xludf.dummyfunction("""COMPUTED_VALUE"""),46246.6666666666)</f>
        <v>46246.6666666666</v>
      </c>
      <c r="M219" s="18" t="n">
        <f aca="false">IFERROR(__xludf.dummyfunction("""COMPUTED_VALUE"""),33.54)</f>
        <v>33.54</v>
      </c>
      <c r="N219" s="19" t="n">
        <f aca="false">IFERROR(M219/M218-1,0)</f>
        <v>0.0105453449834287</v>
      </c>
      <c r="V219" s="19" t="n">
        <f aca="false">IFERROR((D219+I219+N219)/3,0)</f>
        <v>0.00609542156393839</v>
      </c>
      <c r="W219" s="19" t="n">
        <f aca="false">IFERROR(0.3*D219+0.6*I219+0.1*N219,0)</f>
        <v>0.00404101705292521</v>
      </c>
    </row>
    <row r="220" customFormat="false" ht="12.75" hidden="false" customHeight="true" outlineLevel="0" collapsed="false">
      <c r="B220" s="17" t="n">
        <f aca="false">IFERROR(__xludf.dummyfunction("""COMPUTED_VALUE"""),46247.6666666666)</f>
        <v>46247.6666666666</v>
      </c>
      <c r="C220" s="18" t="n">
        <f aca="false">IFERROR(__xludf.dummyfunction("""COMPUTED_VALUE"""),54.88)</f>
        <v>54.88</v>
      </c>
      <c r="D220" s="19" t="n">
        <f aca="false">IFERROR(C220/C219-1,0)</f>
        <v>0.00549651887138158</v>
      </c>
      <c r="E220" s="20"/>
      <c r="G220" s="17" t="n">
        <f aca="false">IFERROR(__xludf.dummyfunction("""COMPUTED_VALUE"""),46247.6666666666)</f>
        <v>46247.6666666666</v>
      </c>
      <c r="H220" s="18" t="n">
        <f aca="false">IFERROR(__xludf.dummyfunction("""COMPUTED_VALUE"""),13.63)</f>
        <v>13.63</v>
      </c>
      <c r="I220" s="19" t="n">
        <f aca="false">IFERROR(H220/H219-1,0)</f>
        <v>0.00368188512518408</v>
      </c>
      <c r="J220" s="20"/>
      <c r="L220" s="17" t="n">
        <f aca="false">IFERROR(__xludf.dummyfunction("""COMPUTED_VALUE"""),46247.6666666666)</f>
        <v>46247.6666666666</v>
      </c>
      <c r="M220" s="18" t="n">
        <f aca="false">IFERROR(__xludf.dummyfunction("""COMPUTED_VALUE"""),33.01)</f>
        <v>33.01</v>
      </c>
      <c r="N220" s="19" t="n">
        <f aca="false">IFERROR(M220/M219-1,0)</f>
        <v>-0.0158020274299344</v>
      </c>
      <c r="V220" s="19" t="n">
        <f aca="false">IFERROR((D220+I220+N220)/3,0)</f>
        <v>-0.00220787447778958</v>
      </c>
      <c r="W220" s="19" t="n">
        <f aca="false">IFERROR(0.3*D220+0.6*I220+0.1*N220,0)</f>
        <v>0.00227788399353148</v>
      </c>
    </row>
    <row r="221" customFormat="false" ht="12.75" hidden="false" customHeight="true" outlineLevel="0" collapsed="false">
      <c r="B221" s="17" t="n">
        <f aca="false">IFERROR(__xludf.dummyfunction("""COMPUTED_VALUE"""),46248.6666666666)</f>
        <v>46248.6666666666</v>
      </c>
      <c r="C221" s="18" t="n">
        <f aca="false">IFERROR(__xludf.dummyfunction("""COMPUTED_VALUE"""),54.82)</f>
        <v>54.82</v>
      </c>
      <c r="D221" s="19" t="n">
        <f aca="false">IFERROR(C221/C220-1,0)</f>
        <v>-0.00109329446064144</v>
      </c>
      <c r="E221" s="20"/>
      <c r="G221" s="17" t="n">
        <f aca="false">IFERROR(__xludf.dummyfunction("""COMPUTED_VALUE"""),46248.6666666666)</f>
        <v>46248.6666666666</v>
      </c>
      <c r="H221" s="18" t="n">
        <f aca="false">IFERROR(__xludf.dummyfunction("""COMPUTED_VALUE"""),13.58)</f>
        <v>13.58</v>
      </c>
      <c r="I221" s="19" t="n">
        <f aca="false">IFERROR(H221/H220-1,0)</f>
        <v>-0.00366837857666913</v>
      </c>
      <c r="J221" s="20"/>
      <c r="L221" s="17" t="n">
        <f aca="false">IFERROR(__xludf.dummyfunction("""COMPUTED_VALUE"""),46248.6666666666)</f>
        <v>46248.6666666666</v>
      </c>
      <c r="M221" s="18" t="n">
        <f aca="false">IFERROR(__xludf.dummyfunction("""COMPUTED_VALUE"""),33.2)</f>
        <v>33.2</v>
      </c>
      <c r="N221" s="19" t="n">
        <f aca="false">IFERROR(M221/M220-1,0)</f>
        <v>0.0057558315661923</v>
      </c>
      <c r="V221" s="19" t="n">
        <f aca="false">IFERROR((D221+I221+N221)/3,0)</f>
        <v>0.000331386176293913</v>
      </c>
      <c r="W221" s="19" t="n">
        <f aca="false">IFERROR(0.3*D221+0.6*I221+0.1*N221,0)</f>
        <v>-0.00195343232757468</v>
      </c>
    </row>
    <row r="222" customFormat="false" ht="12.75" hidden="false" customHeight="true" outlineLevel="0" collapsed="false">
      <c r="B222" s="17" t="n">
        <f aca="false">IFERROR(__xludf.dummyfunction("""COMPUTED_VALUE"""),46251.6666666666)</f>
        <v>46251.6666666666</v>
      </c>
      <c r="C222" s="18" t="n">
        <f aca="false">IFERROR(__xludf.dummyfunction("""COMPUTED_VALUE"""),54.68)</f>
        <v>54.68</v>
      </c>
      <c r="D222" s="19" t="n">
        <f aca="false">IFERROR(C222/C221-1,0)</f>
        <v>-0.0025538124771981</v>
      </c>
      <c r="E222" s="20"/>
      <c r="G222" s="17" t="n">
        <f aca="false">IFERROR(__xludf.dummyfunction("""COMPUTED_VALUE"""),46251.6666666666)</f>
        <v>46251.6666666666</v>
      </c>
      <c r="H222" s="18" t="n">
        <f aca="false">IFERROR(__xludf.dummyfunction("""COMPUTED_VALUE"""),13.56)</f>
        <v>13.56</v>
      </c>
      <c r="I222" s="19" t="n">
        <f aca="false">IFERROR(H222/H221-1,0)</f>
        <v>-0.00147275405007363</v>
      </c>
      <c r="J222" s="20"/>
      <c r="L222" s="17" t="n">
        <f aca="false">IFERROR(__xludf.dummyfunction("""COMPUTED_VALUE"""),46251.6666666666)</f>
        <v>46251.6666666666</v>
      </c>
      <c r="M222" s="18" t="n">
        <f aca="false">IFERROR(__xludf.dummyfunction("""COMPUTED_VALUE"""),33.49)</f>
        <v>33.49</v>
      </c>
      <c r="N222" s="19" t="n">
        <f aca="false">IFERROR(M222/M221-1,0)</f>
        <v>0.00873493975903616</v>
      </c>
      <c r="V222" s="19" t="n">
        <f aca="false">IFERROR((D222+I222+N222)/3,0)</f>
        <v>0.00156945774392148</v>
      </c>
      <c r="W222" s="19" t="n">
        <f aca="false">IFERROR(0.3*D222+0.6*I222+0.1*N222,0)</f>
        <v>-0.000776302197299994</v>
      </c>
    </row>
    <row r="223" customFormat="false" ht="12.75" hidden="false" customHeight="true" outlineLevel="0" collapsed="false">
      <c r="B223" s="17" t="n">
        <f aca="false">IFERROR(__xludf.dummyfunction("""COMPUTED_VALUE"""),46252.6666666666)</f>
        <v>46252.6666666666</v>
      </c>
      <c r="C223" s="18" t="n">
        <f aca="false">IFERROR(__xludf.dummyfunction("""COMPUTED_VALUE"""),54.28)</f>
        <v>54.28</v>
      </c>
      <c r="D223" s="19" t="n">
        <f aca="false">IFERROR(C223/C222-1,0)</f>
        <v>-0.00731528895391365</v>
      </c>
      <c r="E223" s="20"/>
      <c r="G223" s="17" t="n">
        <f aca="false">IFERROR(__xludf.dummyfunction("""COMPUTED_VALUE"""),46252.6666666666)</f>
        <v>46252.6666666666</v>
      </c>
      <c r="H223" s="18" t="n">
        <f aca="false">IFERROR(__xludf.dummyfunction("""COMPUTED_VALUE"""),13.57)</f>
        <v>13.57</v>
      </c>
      <c r="I223" s="19" t="n">
        <f aca="false">IFERROR(H223/H222-1,0)</f>
        <v>0.000737463126843752</v>
      </c>
      <c r="J223" s="20"/>
      <c r="L223" s="17" t="n">
        <f aca="false">IFERROR(__xludf.dummyfunction("""COMPUTED_VALUE"""),46252.6666666666)</f>
        <v>46252.6666666666</v>
      </c>
      <c r="M223" s="18" t="n">
        <f aca="false">IFERROR(__xludf.dummyfunction("""COMPUTED_VALUE"""),32.96)</f>
        <v>32.96</v>
      </c>
      <c r="N223" s="19" t="n">
        <f aca="false">IFERROR(M223/M222-1,0)</f>
        <v>-0.0158256195879367</v>
      </c>
      <c r="V223" s="19" t="n">
        <f aca="false">IFERROR((D223+I223+N223)/3,0)</f>
        <v>-0.00746781513833554</v>
      </c>
      <c r="W223" s="19" t="n">
        <f aca="false">IFERROR(0.3*D223+0.6*I223+0.1*N223,0)</f>
        <v>-0.00333467076886151</v>
      </c>
    </row>
    <row r="224" customFormat="false" ht="12.75" hidden="false" customHeight="true" outlineLevel="0" collapsed="false">
      <c r="B224" s="17" t="n">
        <f aca="false">IFERROR(__xludf.dummyfunction("""COMPUTED_VALUE"""),46253.6666666666)</f>
        <v>46253.6666666666</v>
      </c>
      <c r="C224" s="18" t="n">
        <f aca="false">IFERROR(__xludf.dummyfunction("""COMPUTED_VALUE"""),54.12)</f>
        <v>54.12</v>
      </c>
      <c r="D224" s="19" t="n">
        <f aca="false">IFERROR(C224/C223-1,0)</f>
        <v>-0.00294767870302148</v>
      </c>
      <c r="E224" s="20"/>
      <c r="G224" s="17" t="n">
        <f aca="false">IFERROR(__xludf.dummyfunction("""COMPUTED_VALUE"""),46253.6666666666)</f>
        <v>46253.6666666666</v>
      </c>
      <c r="H224" s="18" t="n">
        <f aca="false">IFERROR(__xludf.dummyfunction("""COMPUTED_VALUE"""),13.59)</f>
        <v>13.59</v>
      </c>
      <c r="I224" s="19" t="n">
        <f aca="false">IFERROR(H224/H223-1,0)</f>
        <v>0.00147383935151058</v>
      </c>
      <c r="J224" s="20"/>
      <c r="L224" s="17" t="n">
        <f aca="false">IFERROR(__xludf.dummyfunction("""COMPUTED_VALUE"""),46253.6666666666)</f>
        <v>46253.6666666666</v>
      </c>
      <c r="M224" s="18" t="n">
        <f aca="false">IFERROR(__xludf.dummyfunction("""COMPUTED_VALUE"""),34.2)</f>
        <v>34.2</v>
      </c>
      <c r="N224" s="19" t="n">
        <f aca="false">IFERROR(M224/M223-1,0)</f>
        <v>0.037621359223301</v>
      </c>
      <c r="V224" s="19" t="n">
        <f aca="false">IFERROR((D224+I224+N224)/3,0)</f>
        <v>0.0120491732905967</v>
      </c>
      <c r="W224" s="19" t="n">
        <f aca="false">IFERROR(0.3*D224+0.6*I224+0.1*N224,0)</f>
        <v>0.00376213592233</v>
      </c>
    </row>
    <row r="225" customFormat="false" ht="12.75" hidden="false" customHeight="true" outlineLevel="0" collapsed="false">
      <c r="B225" s="17" t="n">
        <f aca="false">IFERROR(__xludf.dummyfunction("""COMPUTED_VALUE"""),46254.6666666666)</f>
        <v>46254.6666666666</v>
      </c>
      <c r="C225" s="18" t="n">
        <f aca="false">IFERROR(__xludf.dummyfunction("""COMPUTED_VALUE"""),53.98)</f>
        <v>53.98</v>
      </c>
      <c r="D225" s="19" t="n">
        <f aca="false">IFERROR(C225/C224-1,0)</f>
        <v>-0.00258684405025866</v>
      </c>
      <c r="E225" s="20"/>
      <c r="G225" s="17" t="n">
        <f aca="false">IFERROR(__xludf.dummyfunction("""COMPUTED_VALUE"""),46254.6666666666)</f>
        <v>46254.6666666666</v>
      </c>
      <c r="H225" s="18" t="n">
        <f aca="false">IFERROR(__xludf.dummyfunction("""COMPUTED_VALUE"""),13.53)</f>
        <v>13.53</v>
      </c>
      <c r="I225" s="19" t="n">
        <f aca="false">IFERROR(H225/H224-1,0)</f>
        <v>-0.00441501103752762</v>
      </c>
      <c r="J225" s="20"/>
      <c r="L225" s="17" t="n">
        <f aca="false">IFERROR(__xludf.dummyfunction("""COMPUTED_VALUE"""),46254.6666666666)</f>
        <v>46254.6666666666</v>
      </c>
      <c r="M225" s="18" t="n">
        <f aca="false">IFERROR(__xludf.dummyfunction("""COMPUTED_VALUE"""),34.32)</f>
        <v>34.32</v>
      </c>
      <c r="N225" s="19" t="n">
        <f aca="false">IFERROR(M225/M224-1,0)</f>
        <v>0.00350877192982457</v>
      </c>
      <c r="V225" s="19" t="n">
        <f aca="false">IFERROR((D225+I225+N225)/3,0)</f>
        <v>-0.0011643610526539</v>
      </c>
      <c r="W225" s="19" t="n">
        <f aca="false">IFERROR(0.3*D225+0.6*I225+0.1*N225,0)</f>
        <v>-0.00307418264461171</v>
      </c>
    </row>
    <row r="226" customFormat="false" ht="12.75" hidden="false" customHeight="true" outlineLevel="0" collapsed="false">
      <c r="B226" s="17" t="n">
        <f aca="false">IFERROR(__xludf.dummyfunction("""COMPUTED_VALUE"""),46255.6666666666)</f>
        <v>46255.6666666666</v>
      </c>
      <c r="C226" s="18" t="n">
        <f aca="false">IFERROR(__xludf.dummyfunction("""COMPUTED_VALUE"""),54.36)</f>
        <v>54.36</v>
      </c>
      <c r="D226" s="19" t="n">
        <f aca="false">IFERROR(C226/C225-1,0)</f>
        <v>0.00703964431270854</v>
      </c>
      <c r="E226" s="20"/>
      <c r="G226" s="17" t="n">
        <f aca="false">IFERROR(__xludf.dummyfunction("""COMPUTED_VALUE"""),46255.6666666666)</f>
        <v>46255.6666666666</v>
      </c>
      <c r="H226" s="18" t="n">
        <f aca="false">IFERROR(__xludf.dummyfunction("""COMPUTED_VALUE"""),13.52)</f>
        <v>13.52</v>
      </c>
      <c r="I226" s="19" t="n">
        <f aca="false">IFERROR(H226/H225-1,0)</f>
        <v>-0.000739098300073904</v>
      </c>
      <c r="J226" s="20"/>
      <c r="L226" s="17" t="n">
        <f aca="false">IFERROR(__xludf.dummyfunction("""COMPUTED_VALUE"""),46255.6666666666)</f>
        <v>46255.6666666666</v>
      </c>
      <c r="M226" s="18" t="n">
        <f aca="false">IFERROR(__xludf.dummyfunction("""COMPUTED_VALUE"""),35.03)</f>
        <v>35.03</v>
      </c>
      <c r="N226" s="19" t="n">
        <f aca="false">IFERROR(M226/M225-1,0)</f>
        <v>0.0206876456876457</v>
      </c>
      <c r="V226" s="19" t="n">
        <f aca="false">IFERROR((D226+I226+N226)/3,0)</f>
        <v>0.00899606390009344</v>
      </c>
      <c r="W226" s="19" t="n">
        <f aca="false">IFERROR(0.3*D226+0.6*I226+0.1*N226,0)</f>
        <v>0.00373719888253279</v>
      </c>
    </row>
    <row r="227" customFormat="false" ht="12.75" hidden="false" customHeight="true" outlineLevel="0" collapsed="false">
      <c r="B227" s="17" t="n">
        <f aca="false">IFERROR(__xludf.dummyfunction("""COMPUTED_VALUE"""),46258.6666666666)</f>
        <v>46258.6666666666</v>
      </c>
      <c r="C227" s="18" t="n">
        <f aca="false">IFERROR(__xludf.dummyfunction("""COMPUTED_VALUE"""),54.47)</f>
        <v>54.47</v>
      </c>
      <c r="D227" s="19" t="n">
        <f aca="false">IFERROR(C227/C226-1,0)</f>
        <v>0.0020235467255334</v>
      </c>
      <c r="E227" s="20"/>
      <c r="G227" s="17" t="n">
        <f aca="false">IFERROR(__xludf.dummyfunction("""COMPUTED_VALUE"""),46258.6666666666)</f>
        <v>46258.6666666666</v>
      </c>
      <c r="H227" s="18" t="n">
        <f aca="false">IFERROR(__xludf.dummyfunction("""COMPUTED_VALUE"""),13.58)</f>
        <v>13.58</v>
      </c>
      <c r="I227" s="19" t="n">
        <f aca="false">IFERROR(H227/H226-1,0)</f>
        <v>0.00443786982248517</v>
      </c>
      <c r="J227" s="20"/>
      <c r="L227" s="17" t="n">
        <f aca="false">IFERROR(__xludf.dummyfunction("""COMPUTED_VALUE"""),46258.6666666666)</f>
        <v>46258.6666666666</v>
      </c>
      <c r="M227" s="18" t="n">
        <f aca="false">IFERROR(__xludf.dummyfunction("""COMPUTED_VALUE"""),35.22)</f>
        <v>35.22</v>
      </c>
      <c r="N227" s="19" t="n">
        <f aca="false">IFERROR(M227/M226-1,0)</f>
        <v>0.00542392235226941</v>
      </c>
      <c r="V227" s="19" t="n">
        <f aca="false">IFERROR((D227+I227+N227)/3,0)</f>
        <v>0.00396177963342933</v>
      </c>
      <c r="W227" s="19" t="n">
        <f aca="false">IFERROR(0.3*D227+0.6*I227+0.1*N227,0)</f>
        <v>0.00381217814637806</v>
      </c>
    </row>
    <row r="228" customFormat="false" ht="12.75" hidden="false" customHeight="true" outlineLevel="0" collapsed="false">
      <c r="B228" s="17" t="n">
        <f aca="false">IFERROR(__xludf.dummyfunction("""COMPUTED_VALUE"""),46259.6666666666)</f>
        <v>46259.6666666666</v>
      </c>
      <c r="C228" s="18" t="n">
        <f aca="false">IFERROR(__xludf.dummyfunction("""COMPUTED_VALUE"""),54.9)</f>
        <v>54.9</v>
      </c>
      <c r="D228" s="19" t="n">
        <f aca="false">IFERROR(C228/C227-1,0)</f>
        <v>0.00789425371764274</v>
      </c>
      <c r="E228" s="20"/>
      <c r="G228" s="17" t="n">
        <f aca="false">IFERROR(__xludf.dummyfunction("""COMPUTED_VALUE"""),46259.6666666666)</f>
        <v>46259.6666666666</v>
      </c>
      <c r="H228" s="18" t="n">
        <f aca="false">IFERROR(__xludf.dummyfunction("""COMPUTED_VALUE"""),13.64)</f>
        <v>13.64</v>
      </c>
      <c r="I228" s="19" t="n">
        <f aca="false">IFERROR(H228/H227-1,0)</f>
        <v>0.0044182621502209</v>
      </c>
      <c r="J228" s="20"/>
      <c r="L228" s="17" t="n">
        <f aca="false">IFERROR(__xludf.dummyfunction("""COMPUTED_VALUE"""),46259.6666666666)</f>
        <v>46259.6666666666</v>
      </c>
      <c r="M228" s="18" t="n">
        <f aca="false">IFERROR(__xludf.dummyfunction("""COMPUTED_VALUE"""),35.35)</f>
        <v>35.35</v>
      </c>
      <c r="N228" s="19" t="n">
        <f aca="false">IFERROR(M228/M227-1,0)</f>
        <v>0.00369108461101653</v>
      </c>
      <c r="V228" s="19" t="n">
        <f aca="false">IFERROR((D228+I228+N228)/3,0)</f>
        <v>0.00533453349296005</v>
      </c>
      <c r="W228" s="19" t="n">
        <f aca="false">IFERROR(0.3*D228+0.6*I228+0.1*N228,0)</f>
        <v>0.00538834186652701</v>
      </c>
    </row>
    <row r="229" customFormat="false" ht="12.75" hidden="false" customHeight="true" outlineLevel="0" collapsed="false">
      <c r="B229" s="17" t="n">
        <f aca="false">IFERROR(__xludf.dummyfunction("""COMPUTED_VALUE"""),46260.6666666666)</f>
        <v>46260.6666666666</v>
      </c>
      <c r="C229" s="18" t="n">
        <f aca="false">IFERROR(__xludf.dummyfunction("""COMPUTED_VALUE"""),54.41)</f>
        <v>54.41</v>
      </c>
      <c r="D229" s="19" t="n">
        <f aca="false">IFERROR(C229/C228-1,0)</f>
        <v>-0.00892531876138436</v>
      </c>
      <c r="E229" s="20"/>
      <c r="G229" s="17" t="n">
        <f aca="false">IFERROR(__xludf.dummyfunction("""COMPUTED_VALUE"""),46260.6666666666)</f>
        <v>46260.6666666666</v>
      </c>
      <c r="H229" s="18" t="n">
        <f aca="false">IFERROR(__xludf.dummyfunction("""COMPUTED_VALUE"""),13.61)</f>
        <v>13.61</v>
      </c>
      <c r="I229" s="19" t="n">
        <f aca="false">IFERROR(H229/H228-1,0)</f>
        <v>-0.00219941348973618</v>
      </c>
      <c r="J229" s="20"/>
      <c r="L229" s="17" t="n">
        <f aca="false">IFERROR(__xludf.dummyfunction("""COMPUTED_VALUE"""),46260.6666666666)</f>
        <v>46260.6666666666</v>
      </c>
      <c r="M229" s="18" t="n">
        <f aca="false">IFERROR(__xludf.dummyfunction("""COMPUTED_VALUE"""),34.79)</f>
        <v>34.79</v>
      </c>
      <c r="N229" s="19" t="n">
        <f aca="false">IFERROR(M229/M228-1,0)</f>
        <v>-0.0158415841584159</v>
      </c>
      <c r="V229" s="19" t="n">
        <f aca="false">IFERROR((D229+I229+N229)/3,0)</f>
        <v>-0.00898877213651213</v>
      </c>
      <c r="W229" s="19" t="n">
        <f aca="false">IFERROR(0.3*D229+0.6*I229+0.1*N229,0)</f>
        <v>-0.0055814021380986</v>
      </c>
    </row>
    <row r="230" customFormat="false" ht="12.75" hidden="false" customHeight="true" outlineLevel="0" collapsed="false">
      <c r="B230" s="17" t="n">
        <f aca="false">IFERROR(__xludf.dummyfunction("""COMPUTED_VALUE"""),46261.6666666666)</f>
        <v>46261.6666666666</v>
      </c>
      <c r="C230" s="18" t="n">
        <f aca="false">IFERROR(__xludf.dummyfunction("""COMPUTED_VALUE"""),54.33)</f>
        <v>54.33</v>
      </c>
      <c r="D230" s="19" t="n">
        <f aca="false">IFERROR(C230/C229-1,0)</f>
        <v>-0.00147031795625796</v>
      </c>
      <c r="E230" s="20"/>
      <c r="G230" s="17" t="n">
        <f aca="false">IFERROR(__xludf.dummyfunction("""COMPUTED_VALUE"""),46261.6666666666)</f>
        <v>46261.6666666666</v>
      </c>
      <c r="H230" s="18" t="n">
        <f aca="false">IFERROR(__xludf.dummyfunction("""COMPUTED_VALUE"""),13.58)</f>
        <v>13.58</v>
      </c>
      <c r="I230" s="19" t="n">
        <f aca="false">IFERROR(H230/H229-1,0)</f>
        <v>-0.00220426157237319</v>
      </c>
      <c r="J230" s="20"/>
      <c r="L230" s="17" t="n">
        <f aca="false">IFERROR(__xludf.dummyfunction("""COMPUTED_VALUE"""),46261.6666666666)</f>
        <v>46261.6666666666</v>
      </c>
      <c r="M230" s="18" t="n">
        <f aca="false">IFERROR(__xludf.dummyfunction("""COMPUTED_VALUE"""),34.88)</f>
        <v>34.88</v>
      </c>
      <c r="N230" s="19" t="n">
        <f aca="false">IFERROR(M230/M229-1,0)</f>
        <v>0.0025869502730671</v>
      </c>
      <c r="V230" s="19" t="n">
        <f aca="false">IFERROR((D230+I230+N230)/3,0)</f>
        <v>-0.000362543085188016</v>
      </c>
      <c r="W230" s="19" t="n">
        <f aca="false">IFERROR(0.3*D230+0.6*I230+0.1*N230,0)</f>
        <v>-0.00150495730299459</v>
      </c>
    </row>
    <row r="231" customFormat="false" ht="12.75" hidden="false" customHeight="true" outlineLevel="0" collapsed="false">
      <c r="B231" s="17" t="n">
        <f aca="false">IFERROR(__xludf.dummyfunction("""COMPUTED_VALUE"""),46262.6666666666)</f>
        <v>46262.6666666666</v>
      </c>
      <c r="C231" s="18" t="n">
        <f aca="false">IFERROR(__xludf.dummyfunction("""COMPUTED_VALUE"""),54.05)</f>
        <v>54.05</v>
      </c>
      <c r="D231" s="19" t="n">
        <f aca="false">IFERROR(C231/C230-1,0)</f>
        <v>-0.00515369041045466</v>
      </c>
      <c r="E231" s="20"/>
      <c r="G231" s="17" t="n">
        <f aca="false">IFERROR(__xludf.dummyfunction("""COMPUTED_VALUE"""),46262.6666666666)</f>
        <v>46262.6666666666</v>
      </c>
      <c r="H231" s="18" t="n">
        <f aca="false">IFERROR(__xludf.dummyfunction("""COMPUTED_VALUE"""),13.53)</f>
        <v>13.53</v>
      </c>
      <c r="I231" s="19" t="n">
        <f aca="false">IFERROR(H231/H230-1,0)</f>
        <v>-0.00368188512518419</v>
      </c>
      <c r="J231" s="20"/>
      <c r="L231" s="17" t="n">
        <f aca="false">IFERROR(__xludf.dummyfunction("""COMPUTED_VALUE"""),46262.6666666666)</f>
        <v>46262.6666666666</v>
      </c>
      <c r="M231" s="18" t="n">
        <f aca="false">IFERROR(__xludf.dummyfunction("""COMPUTED_VALUE"""),33.76)</f>
        <v>33.76</v>
      </c>
      <c r="N231" s="19" t="n">
        <f aca="false">IFERROR(M231/M230-1,0)</f>
        <v>-0.0321100917431194</v>
      </c>
      <c r="V231" s="19" t="n">
        <f aca="false">IFERROR((D231+I231+N231)/3,0)</f>
        <v>-0.0136485557595861</v>
      </c>
      <c r="W231" s="19" t="n">
        <f aca="false">IFERROR(0.3*D231+0.6*I231+0.1*N231,0)</f>
        <v>-0.00696624737255885</v>
      </c>
    </row>
    <row r="232" customFormat="false" ht="12.75" hidden="false" customHeight="true" outlineLevel="0" collapsed="false">
      <c r="B232" s="17" t="n">
        <f aca="false">IFERROR(__xludf.dummyfunction("""COMPUTED_VALUE"""),46265.6666666666)</f>
        <v>46265.6666666666</v>
      </c>
      <c r="C232" s="18" t="n">
        <f aca="false">IFERROR(__xludf.dummyfunction("""COMPUTED_VALUE"""),53.65)</f>
        <v>53.65</v>
      </c>
      <c r="D232" s="19" t="n">
        <f aca="false">IFERROR(C232/C231-1,0)</f>
        <v>-0.00740055504162807</v>
      </c>
      <c r="E232" s="20"/>
      <c r="G232" s="17" t="n">
        <f aca="false">IFERROR(__xludf.dummyfunction("""COMPUTED_VALUE"""),46265.6666666666)</f>
        <v>46265.6666666666</v>
      </c>
      <c r="H232" s="18" t="n">
        <f aca="false">IFERROR(__xludf.dummyfunction("""COMPUTED_VALUE"""),13.53)</f>
        <v>13.53</v>
      </c>
      <c r="I232" s="19" t="n">
        <f aca="false">IFERROR(H232/H231-1,0)</f>
        <v>0</v>
      </c>
      <c r="J232" s="20"/>
      <c r="L232" s="17" t="n">
        <f aca="false">IFERROR(__xludf.dummyfunction("""COMPUTED_VALUE"""),46265.6666666666)</f>
        <v>46265.6666666666</v>
      </c>
      <c r="M232" s="18" t="n">
        <f aca="false">IFERROR(__xludf.dummyfunction("""COMPUTED_VALUE"""),33.76)</f>
        <v>33.76</v>
      </c>
      <c r="N232" s="19" t="n">
        <f aca="false">IFERROR(M232/M231-1,0)</f>
        <v>0</v>
      </c>
      <c r="V232" s="19" t="n">
        <f aca="false">IFERROR((D232+I232+N232)/3,0)</f>
        <v>-0.00246685168054269</v>
      </c>
      <c r="W232" s="19" t="n">
        <f aca="false">IFERROR(0.3*D232+0.6*I232+0.1*N232,0)</f>
        <v>-0.00222016651248842</v>
      </c>
    </row>
    <row r="233" customFormat="false" ht="12.75" hidden="false" customHeight="true" outlineLevel="0" collapsed="false">
      <c r="B233" s="17" t="n">
        <f aca="false">IFERROR(__xludf.dummyfunction("""COMPUTED_VALUE"""),46266.6666666666)</f>
        <v>46266.6666666666</v>
      </c>
      <c r="C233" s="18" t="n">
        <f aca="false">IFERROR(__xludf.dummyfunction("""COMPUTED_VALUE"""),53.13)</f>
        <v>53.13</v>
      </c>
      <c r="D233" s="19" t="n">
        <f aca="false">IFERROR(C233/C232-1,0)</f>
        <v>-0.00969245107176131</v>
      </c>
      <c r="E233" s="20"/>
      <c r="G233" s="17" t="n">
        <f aca="false">IFERROR(__xludf.dummyfunction("""COMPUTED_VALUE"""),46266.6666666666)</f>
        <v>46266.6666666666</v>
      </c>
      <c r="H233" s="18" t="n">
        <f aca="false">IFERROR(__xludf.dummyfunction("""COMPUTED_VALUE"""),13.52)</f>
        <v>13.52</v>
      </c>
      <c r="I233" s="19" t="n">
        <f aca="false">IFERROR(H233/H232-1,0)</f>
        <v>-0.000739098300073904</v>
      </c>
      <c r="J233" s="20"/>
      <c r="L233" s="17" t="n">
        <f aca="false">IFERROR(__xludf.dummyfunction("""COMPUTED_VALUE"""),46266.6666666666)</f>
        <v>46266.6666666666</v>
      </c>
      <c r="M233" s="18" t="n">
        <f aca="false">IFERROR(__xludf.dummyfunction("""COMPUTED_VALUE"""),32.71)</f>
        <v>32.71</v>
      </c>
      <c r="N233" s="19" t="n">
        <f aca="false">IFERROR(M233/M232-1,0)</f>
        <v>-0.0311018957345971</v>
      </c>
      <c r="V233" s="19" t="n">
        <f aca="false">IFERROR((D233+I233+N233)/3,0)</f>
        <v>-0.0138444817021441</v>
      </c>
      <c r="W233" s="19" t="n">
        <f aca="false">IFERROR(0.3*D233+0.6*I233+0.1*N233,0)</f>
        <v>-0.00646138387503244</v>
      </c>
    </row>
    <row r="234" customFormat="false" ht="12.75" hidden="false" customHeight="true" outlineLevel="0" collapsed="false">
      <c r="B234" s="17" t="n">
        <f aca="false">IFERROR(__xludf.dummyfunction("""COMPUTED_VALUE"""),46267.6666666666)</f>
        <v>46267.6666666666</v>
      </c>
      <c r="C234" s="18" t="n">
        <f aca="false">IFERROR(__xludf.dummyfunction("""COMPUTED_VALUE"""),53.47)</f>
        <v>53.47</v>
      </c>
      <c r="D234" s="19" t="n">
        <f aca="false">IFERROR(C234/C233-1,0)</f>
        <v>0.00639939770374554</v>
      </c>
      <c r="E234" s="20"/>
      <c r="G234" s="17" t="n">
        <f aca="false">IFERROR(__xludf.dummyfunction("""COMPUTED_VALUE"""),46267.6666666666)</f>
        <v>46267.6666666666</v>
      </c>
      <c r="H234" s="18" t="n">
        <f aca="false">IFERROR(__xludf.dummyfunction("""COMPUTED_VALUE"""),13.47)</f>
        <v>13.47</v>
      </c>
      <c r="I234" s="19" t="n">
        <f aca="false">IFERROR(H234/H233-1,0)</f>
        <v>-0.00369822485207094</v>
      </c>
      <c r="J234" s="20"/>
      <c r="L234" s="17" t="n">
        <f aca="false">IFERROR(__xludf.dummyfunction("""COMPUTED_VALUE"""),46267.6666666666)</f>
        <v>46267.6666666666</v>
      </c>
      <c r="M234" s="18" t="n">
        <f aca="false">IFERROR(__xludf.dummyfunction("""COMPUTED_VALUE"""),33.26)</f>
        <v>33.26</v>
      </c>
      <c r="N234" s="19" t="n">
        <f aca="false">IFERROR(M234/M233-1,0)</f>
        <v>0.01681442983797</v>
      </c>
      <c r="V234" s="19" t="n">
        <f aca="false">IFERROR((D234+I234+N234)/3,0)</f>
        <v>0.0065052008965482</v>
      </c>
      <c r="W234" s="19" t="n">
        <f aca="false">IFERROR(0.3*D234+0.6*I234+0.1*N234,0)</f>
        <v>0.00138232738367809</v>
      </c>
    </row>
    <row r="235" customFormat="false" ht="12.75" hidden="false" customHeight="true" outlineLevel="0" collapsed="false">
      <c r="B235" s="17" t="n">
        <f aca="false">IFERROR(__xludf.dummyfunction("""COMPUTED_VALUE"""),46268.6666666666)</f>
        <v>46268.6666666666</v>
      </c>
      <c r="C235" s="18" t="n">
        <f aca="false">IFERROR(__xludf.dummyfunction("""COMPUTED_VALUE"""),54.31)</f>
        <v>54.31</v>
      </c>
      <c r="D235" s="19" t="n">
        <f aca="false">IFERROR(C235/C234-1,0)</f>
        <v>0.0157097437815599</v>
      </c>
      <c r="E235" s="20"/>
      <c r="G235" s="17" t="n">
        <f aca="false">IFERROR(__xludf.dummyfunction("""COMPUTED_VALUE"""),46268.6666666666)</f>
        <v>46268.6666666666</v>
      </c>
      <c r="H235" s="18" t="n">
        <f aca="false">IFERROR(__xludf.dummyfunction("""COMPUTED_VALUE"""),13.49)</f>
        <v>13.49</v>
      </c>
      <c r="I235" s="19" t="n">
        <f aca="false">IFERROR(H235/H234-1,0)</f>
        <v>0.00148478099480331</v>
      </c>
      <c r="J235" s="20"/>
      <c r="L235" s="17" t="n">
        <f aca="false">IFERROR(__xludf.dummyfunction("""COMPUTED_VALUE"""),46268.6666666666)</f>
        <v>46268.6666666666</v>
      </c>
      <c r="M235" s="18" t="n">
        <f aca="false">IFERROR(__xludf.dummyfunction("""COMPUTED_VALUE"""),33.88)</f>
        <v>33.88</v>
      </c>
      <c r="N235" s="19" t="n">
        <f aca="false">IFERROR(M235/M234-1,0)</f>
        <v>0.0186410102224897</v>
      </c>
      <c r="V235" s="19" t="n">
        <f aca="false">IFERROR((D235+I235+N235)/3,0)</f>
        <v>0.0119451783329509</v>
      </c>
      <c r="W235" s="19" t="n">
        <f aca="false">IFERROR(0.3*D235+0.6*I235+0.1*N235,0)</f>
        <v>0.00746789275359891</v>
      </c>
    </row>
    <row r="236" customFormat="false" ht="12.75" hidden="false" customHeight="true" outlineLevel="0" collapsed="false">
      <c r="B236" s="17" t="n">
        <f aca="false">IFERROR(__xludf.dummyfunction("""COMPUTED_VALUE"""),46269.6666666666)</f>
        <v>46269.6666666666</v>
      </c>
      <c r="C236" s="18" t="n">
        <f aca="false">IFERROR(__xludf.dummyfunction("""COMPUTED_VALUE"""),54.11)</f>
        <v>54.11</v>
      </c>
      <c r="D236" s="19" t="n">
        <f aca="false">IFERROR(C236/C235-1,0)</f>
        <v>-0.00368256306389247</v>
      </c>
      <c r="E236" s="20"/>
      <c r="G236" s="17" t="n">
        <f aca="false">IFERROR(__xludf.dummyfunction("""COMPUTED_VALUE"""),46269.6666666666)</f>
        <v>46269.6666666666</v>
      </c>
      <c r="H236" s="18" t="n">
        <f aca="false">IFERROR(__xludf.dummyfunction("""COMPUTED_VALUE"""),13.5)</f>
        <v>13.5</v>
      </c>
      <c r="I236" s="19" t="n">
        <f aca="false">IFERROR(H236/H235-1,0)</f>
        <v>0.000741289844329085</v>
      </c>
      <c r="J236" s="20"/>
      <c r="L236" s="17" t="n">
        <f aca="false">IFERROR(__xludf.dummyfunction("""COMPUTED_VALUE"""),46269.6666666666)</f>
        <v>46269.6666666666</v>
      </c>
      <c r="M236" s="18" t="n">
        <f aca="false">IFERROR(__xludf.dummyfunction("""COMPUTED_VALUE"""),33.59)</f>
        <v>33.59</v>
      </c>
      <c r="N236" s="19" t="n">
        <f aca="false">IFERROR(M236/M235-1,0)</f>
        <v>-0.00855962219598583</v>
      </c>
      <c r="V236" s="19" t="n">
        <f aca="false">IFERROR((D236+I236+N236)/3,0)</f>
        <v>-0.00383363180518307</v>
      </c>
      <c r="W236" s="19" t="n">
        <f aca="false">IFERROR(0.3*D236+0.6*I236+0.1*N236,0)</f>
        <v>-0.00151595723216887</v>
      </c>
    </row>
    <row r="237" customFormat="false" ht="12.75" hidden="false" customHeight="true" outlineLevel="0" collapsed="false">
      <c r="B237" s="17" t="n">
        <f aca="false">IFERROR(__xludf.dummyfunction("""COMPUTED_VALUE"""),46273.6666666666)</f>
        <v>46273.6666666666</v>
      </c>
      <c r="C237" s="18" t="n">
        <f aca="false">IFERROR(__xludf.dummyfunction("""COMPUTED_VALUE"""),53.43)</f>
        <v>53.43</v>
      </c>
      <c r="D237" s="19" t="n">
        <f aca="false">IFERROR(C237/C236-1,0)</f>
        <v>-0.0125669931620772</v>
      </c>
      <c r="E237" s="20"/>
      <c r="G237" s="17" t="n">
        <f aca="false">IFERROR(__xludf.dummyfunction("""COMPUTED_VALUE"""),46273.6666666666)</f>
        <v>46273.6666666666</v>
      </c>
      <c r="H237" s="18" t="n">
        <f aca="false">IFERROR(__xludf.dummyfunction("""COMPUTED_VALUE"""),13.48)</f>
        <v>13.48</v>
      </c>
      <c r="I237" s="19" t="n">
        <f aca="false">IFERROR(H237/H236-1,0)</f>
        <v>-0.00148148148148142</v>
      </c>
      <c r="J237" s="20"/>
      <c r="L237" s="17" t="n">
        <f aca="false">IFERROR(__xludf.dummyfunction("""COMPUTED_VALUE"""),46273.6666666666)</f>
        <v>46273.6666666666</v>
      </c>
      <c r="M237" s="18" t="n">
        <f aca="false">IFERROR(__xludf.dummyfunction("""COMPUTED_VALUE"""),33)</f>
        <v>33</v>
      </c>
      <c r="N237" s="19" t="n">
        <f aca="false">IFERROR(M237/M236-1,0)</f>
        <v>-0.0175647514141114</v>
      </c>
      <c r="V237" s="19" t="n">
        <f aca="false">IFERROR((D237+I237+N237)/3,0)</f>
        <v>-0.0105377420192233</v>
      </c>
      <c r="W237" s="19" t="n">
        <f aca="false">IFERROR(0.3*D237+0.6*I237+0.1*N237,0)</f>
        <v>-0.00641546197892315</v>
      </c>
    </row>
    <row r="238" customFormat="false" ht="12.75" hidden="false" customHeight="true" outlineLevel="0" collapsed="false">
      <c r="B238" s="17" t="n">
        <f aca="false">IFERROR(__xludf.dummyfunction("""COMPUTED_VALUE"""),46274.6666666666)</f>
        <v>46274.6666666666</v>
      </c>
      <c r="C238" s="18" t="n">
        <f aca="false">IFERROR(__xludf.dummyfunction("""COMPUTED_VALUE"""),53)</f>
        <v>53</v>
      </c>
      <c r="D238" s="19" t="n">
        <f aca="false">IFERROR(C238/C237-1,0)</f>
        <v>-0.00804791315740217</v>
      </c>
      <c r="E238" s="20"/>
      <c r="G238" s="17" t="n">
        <f aca="false">IFERROR(__xludf.dummyfunction("""COMPUTED_VALUE"""),46274.6666666666)</f>
        <v>46274.6666666666</v>
      </c>
      <c r="H238" s="18" t="n">
        <f aca="false">IFERROR(__xludf.dummyfunction("""COMPUTED_VALUE"""),13.44)</f>
        <v>13.44</v>
      </c>
      <c r="I238" s="19" t="n">
        <f aca="false">IFERROR(H238/H237-1,0)</f>
        <v>-0.00296735905044521</v>
      </c>
      <c r="J238" s="20"/>
      <c r="L238" s="17" t="n">
        <f aca="false">IFERROR(__xludf.dummyfunction("""COMPUTED_VALUE"""),46274.6666666666)</f>
        <v>46274.6666666666</v>
      </c>
      <c r="M238" s="18" t="n">
        <f aca="false">IFERROR(__xludf.dummyfunction("""COMPUTED_VALUE"""),33.28)</f>
        <v>33.28</v>
      </c>
      <c r="N238" s="19" t="n">
        <f aca="false">IFERROR(M238/M237-1,0)</f>
        <v>0.00848484848484854</v>
      </c>
      <c r="V238" s="19" t="n">
        <f aca="false">IFERROR((D238+I238+N238)/3,0)</f>
        <v>-0.000843474574332944</v>
      </c>
      <c r="W238" s="19" t="n">
        <f aca="false">IFERROR(0.3*D238+0.6*I238+0.1*N238,0)</f>
        <v>-0.00334630452900292</v>
      </c>
    </row>
    <row r="239" customFormat="false" ht="12.75" hidden="false" customHeight="true" outlineLevel="0" collapsed="false">
      <c r="B239" s="17" t="n">
        <f aca="false">IFERROR(__xludf.dummyfunction("""COMPUTED_VALUE"""),46275.6666666666)</f>
        <v>46275.6666666666</v>
      </c>
      <c r="C239" s="18" t="n">
        <f aca="false">IFERROR(__xludf.dummyfunction("""COMPUTED_VALUE"""),52.56)</f>
        <v>52.56</v>
      </c>
      <c r="D239" s="19" t="n">
        <f aca="false">IFERROR(C239/C238-1,0)</f>
        <v>-0.00830188679245281</v>
      </c>
      <c r="E239" s="20"/>
      <c r="G239" s="17" t="n">
        <f aca="false">IFERROR(__xludf.dummyfunction("""COMPUTED_VALUE"""),46275.6666666666)</f>
        <v>46275.6666666666</v>
      </c>
      <c r="H239" s="18" t="n">
        <f aca="false">IFERROR(__xludf.dummyfunction("""COMPUTED_VALUE"""),13.36)</f>
        <v>13.36</v>
      </c>
      <c r="I239" s="19" t="n">
        <f aca="false">IFERROR(H239/H238-1,0)</f>
        <v>-0.00595238095238093</v>
      </c>
      <c r="J239" s="20"/>
      <c r="L239" s="17" t="n">
        <f aca="false">IFERROR(__xludf.dummyfunction("""COMPUTED_VALUE"""),46275.6666666666)</f>
        <v>46275.6666666666</v>
      </c>
      <c r="M239" s="18" t="n">
        <f aca="false">IFERROR(__xludf.dummyfunction("""COMPUTED_VALUE"""),32.73)</f>
        <v>32.73</v>
      </c>
      <c r="N239" s="19" t="n">
        <f aca="false">IFERROR(M239/M238-1,0)</f>
        <v>-0.0165264423076924</v>
      </c>
      <c r="V239" s="19" t="n">
        <f aca="false">IFERROR((D239+I239+N239)/3,0)</f>
        <v>-0.0102602366841754</v>
      </c>
      <c r="W239" s="19" t="n">
        <f aca="false">IFERROR(0.3*D239+0.6*I239+0.1*N239,0)</f>
        <v>-0.00771463883993364</v>
      </c>
    </row>
    <row r="240" customFormat="false" ht="12.75" hidden="false" customHeight="true" outlineLevel="0" collapsed="false">
      <c r="B240" s="17" t="n">
        <f aca="false">IFERROR(__xludf.dummyfunction("""COMPUTED_VALUE"""),46276.6666666666)</f>
        <v>46276.6666666666</v>
      </c>
      <c r="C240" s="18" t="n">
        <f aca="false">IFERROR(__xludf.dummyfunction("""COMPUTED_VALUE"""),52.92)</f>
        <v>52.92</v>
      </c>
      <c r="D240" s="19" t="n">
        <f aca="false">IFERROR(C240/C239-1,0)</f>
        <v>0.00684931506849318</v>
      </c>
      <c r="E240" s="20"/>
      <c r="G240" s="17" t="n">
        <f aca="false">IFERROR(__xludf.dummyfunction("""COMPUTED_VALUE"""),46276.6666666666)</f>
        <v>46276.6666666666</v>
      </c>
      <c r="H240" s="18" t="n">
        <f aca="false">IFERROR(__xludf.dummyfunction("""COMPUTED_VALUE"""),13.35)</f>
        <v>13.35</v>
      </c>
      <c r="I240" s="19" t="n">
        <f aca="false">IFERROR(H240/H239-1,0)</f>
        <v>-0.000748502994011968</v>
      </c>
      <c r="J240" s="20"/>
      <c r="L240" s="17" t="n">
        <f aca="false">IFERROR(__xludf.dummyfunction("""COMPUTED_VALUE"""),46276.6666666666)</f>
        <v>46276.6666666666</v>
      </c>
      <c r="M240" s="18" t="n">
        <f aca="false">IFERROR(__xludf.dummyfunction("""COMPUTED_VALUE"""),32.89)</f>
        <v>32.89</v>
      </c>
      <c r="N240" s="19" t="n">
        <f aca="false">IFERROR(M240/M239-1,0)</f>
        <v>0.00488848151542931</v>
      </c>
      <c r="V240" s="19" t="n">
        <f aca="false">IFERROR((D240+I240+N240)/3,0)</f>
        <v>0.00366309786330351</v>
      </c>
      <c r="W240" s="19" t="n">
        <f aca="false">IFERROR(0.3*D240+0.6*I240+0.1*N240,0)</f>
        <v>0.0020945408756837</v>
      </c>
    </row>
    <row r="241" customFormat="false" ht="12.75" hidden="false" customHeight="true" outlineLevel="0" collapsed="false">
      <c r="B241" s="17" t="n">
        <f aca="false">IFERROR(__xludf.dummyfunction("""COMPUTED_VALUE"""),46279.6666666666)</f>
        <v>46279.6666666666</v>
      </c>
      <c r="C241" s="18" t="n">
        <f aca="false">IFERROR(__xludf.dummyfunction("""COMPUTED_VALUE"""),53.03)</f>
        <v>53.03</v>
      </c>
      <c r="D241" s="19" t="n">
        <f aca="false">IFERROR(C241/C240-1,0)</f>
        <v>0.00207860922146641</v>
      </c>
      <c r="E241" s="20"/>
      <c r="G241" s="17" t="n">
        <f aca="false">IFERROR(__xludf.dummyfunction("""COMPUTED_VALUE"""),46279.6666666666)</f>
        <v>46279.6666666666</v>
      </c>
      <c r="H241" s="18" t="n">
        <f aca="false">IFERROR(__xludf.dummyfunction("""COMPUTED_VALUE"""),13.34)</f>
        <v>13.34</v>
      </c>
      <c r="I241" s="19" t="n">
        <f aca="false">IFERROR(H241/H240-1,0)</f>
        <v>-0.000749063670411942</v>
      </c>
      <c r="J241" s="20"/>
      <c r="L241" s="17" t="n">
        <f aca="false">IFERROR(__xludf.dummyfunction("""COMPUTED_VALUE"""),46279.6666666666)</f>
        <v>46279.6666666666</v>
      </c>
      <c r="M241" s="18" t="n">
        <f aca="false">IFERROR(__xludf.dummyfunction("""COMPUTED_VALUE"""),32.43)</f>
        <v>32.43</v>
      </c>
      <c r="N241" s="19" t="n">
        <f aca="false">IFERROR(M241/M240-1,0)</f>
        <v>-0.013986013986014</v>
      </c>
      <c r="V241" s="19" t="n">
        <f aca="false">IFERROR((D241+I241+N241)/3,0)</f>
        <v>-0.00421882281165316</v>
      </c>
      <c r="W241" s="19" t="n">
        <f aca="false">IFERROR(0.3*D241+0.6*I241+0.1*N241,0)</f>
        <v>-0.00122445683440864</v>
      </c>
    </row>
    <row r="242" customFormat="false" ht="12.75" hidden="false" customHeight="true" outlineLevel="0" collapsed="false">
      <c r="B242" s="17" t="n">
        <f aca="false">IFERROR(__xludf.dummyfunction("""COMPUTED_VALUE"""),46280.6666666666)</f>
        <v>46280.6666666666</v>
      </c>
      <c r="C242" s="18" t="n">
        <f aca="false">IFERROR(__xludf.dummyfunction("""COMPUTED_VALUE"""),52.91)</f>
        <v>52.91</v>
      </c>
      <c r="D242" s="19" t="n">
        <f aca="false">IFERROR(C242/C241-1,0)</f>
        <v>-0.00226287007354331</v>
      </c>
      <c r="E242" s="20"/>
      <c r="G242" s="17" t="n">
        <f aca="false">IFERROR(__xludf.dummyfunction("""COMPUTED_VALUE"""),46280.6666666666)</f>
        <v>46280.6666666666</v>
      </c>
      <c r="H242" s="18" t="n">
        <f aca="false">IFERROR(__xludf.dummyfunction("""COMPUTED_VALUE"""),13.36)</f>
        <v>13.36</v>
      </c>
      <c r="I242" s="19" t="n">
        <f aca="false">IFERROR(H242/H241-1,0)</f>
        <v>0.00149925037481258</v>
      </c>
      <c r="J242" s="20"/>
      <c r="L242" s="17" t="n">
        <f aca="false">IFERROR(__xludf.dummyfunction("""COMPUTED_VALUE"""),46280.6666666666)</f>
        <v>46280.6666666666</v>
      </c>
      <c r="M242" s="18" t="n">
        <f aca="false">IFERROR(__xludf.dummyfunction("""COMPUTED_VALUE"""),32.5)</f>
        <v>32.5</v>
      </c>
      <c r="N242" s="19" t="n">
        <f aca="false">IFERROR(M242/M241-1,0)</f>
        <v>0.00215849522047495</v>
      </c>
      <c r="V242" s="19" t="n">
        <f aca="false">IFERROR((D242+I242+N242)/3,0)</f>
        <v>0.000464958507248074</v>
      </c>
      <c r="W242" s="19" t="n">
        <f aca="false">IFERROR(0.3*D242+0.6*I242+0.1*N242,0)</f>
        <v>0.000436538724872049</v>
      </c>
    </row>
    <row r="243" customFormat="false" ht="12.75" hidden="false" customHeight="true" outlineLevel="0" collapsed="false">
      <c r="B243" s="17" t="n">
        <f aca="false">IFERROR(__xludf.dummyfunction("""COMPUTED_VALUE"""),46281.6666666666)</f>
        <v>46281.6666666666</v>
      </c>
      <c r="C243" s="18" t="n">
        <f aca="false">IFERROR(__xludf.dummyfunction("""COMPUTED_VALUE"""),52.8)</f>
        <v>52.8</v>
      </c>
      <c r="D243" s="19" t="n">
        <f aca="false">IFERROR(C243/C242-1,0)</f>
        <v>-0.00207900207900202</v>
      </c>
      <c r="E243" s="20"/>
      <c r="G243" s="17" t="n">
        <f aca="false">IFERROR(__xludf.dummyfunction("""COMPUTED_VALUE"""),46281.6666666666)</f>
        <v>46281.6666666666</v>
      </c>
      <c r="H243" s="18" t="n">
        <f aca="false">IFERROR(__xludf.dummyfunction("""COMPUTED_VALUE"""),13.38)</f>
        <v>13.38</v>
      </c>
      <c r="I243" s="19" t="n">
        <f aca="false">IFERROR(H243/H242-1,0)</f>
        <v>0.00149700598802416</v>
      </c>
      <c r="J243" s="20"/>
      <c r="L243" s="17" t="n">
        <f aca="false">IFERROR(__xludf.dummyfunction("""COMPUTED_VALUE"""),46281.6666666666)</f>
        <v>46281.6666666666</v>
      </c>
      <c r="M243" s="18" t="n">
        <f aca="false">IFERROR(__xludf.dummyfunction("""COMPUTED_VALUE"""),32.31)</f>
        <v>32.31</v>
      </c>
      <c r="N243" s="19" t="n">
        <f aca="false">IFERROR(M243/M242-1,0)</f>
        <v>-0.00584615384615372</v>
      </c>
      <c r="V243" s="19" t="n">
        <f aca="false">IFERROR((D243+I243+N243)/3,0)</f>
        <v>-0.00214271664571053</v>
      </c>
      <c r="W243" s="19" t="n">
        <f aca="false">IFERROR(0.3*D243+0.6*I243+0.1*N243,0)</f>
        <v>-0.000310112415501485</v>
      </c>
    </row>
    <row r="244" customFormat="false" ht="12.75" hidden="false" customHeight="true" outlineLevel="0" collapsed="false">
      <c r="B244" s="17" t="n">
        <f aca="false">IFERROR(__xludf.dummyfunction("""COMPUTED_VALUE"""),46282.6666666666)</f>
        <v>46282.6666666666</v>
      </c>
      <c r="C244" s="18" t="n">
        <f aca="false">IFERROR(__xludf.dummyfunction("""COMPUTED_VALUE"""),53.23)</f>
        <v>53.23</v>
      </c>
      <c r="D244" s="19" t="n">
        <f aca="false">IFERROR(C244/C243-1,0)</f>
        <v>0.00814393939393932</v>
      </c>
      <c r="E244" s="20"/>
      <c r="G244" s="17" t="n">
        <f aca="false">IFERROR(__xludf.dummyfunction("""COMPUTED_VALUE"""),46282.6666666666)</f>
        <v>46282.6666666666</v>
      </c>
      <c r="H244" s="18" t="n">
        <f aca="false">IFERROR(__xludf.dummyfunction("""COMPUTED_VALUE"""),13.47)</f>
        <v>13.47</v>
      </c>
      <c r="I244" s="19" t="n">
        <f aca="false">IFERROR(H244/H243-1,0)</f>
        <v>0.00672645739910305</v>
      </c>
      <c r="J244" s="20"/>
      <c r="L244" s="17" t="n">
        <f aca="false">IFERROR(__xludf.dummyfunction("""COMPUTED_VALUE"""),46282.6666666666)</f>
        <v>46282.6666666666</v>
      </c>
      <c r="M244" s="18" t="n">
        <f aca="false">IFERROR(__xludf.dummyfunction("""COMPUTED_VALUE"""),32.88)</f>
        <v>32.88</v>
      </c>
      <c r="N244" s="19" t="n">
        <f aca="false">IFERROR(M244/M243-1,0)</f>
        <v>0.0176415970287838</v>
      </c>
      <c r="V244" s="19" t="n">
        <f aca="false">IFERROR((D244+I244+N244)/3,0)</f>
        <v>0.010837331273942</v>
      </c>
      <c r="W244" s="19" t="n">
        <f aca="false">IFERROR(0.3*D244+0.6*I244+0.1*N244,0)</f>
        <v>0.008243215960522</v>
      </c>
    </row>
    <row r="245" customFormat="false" ht="12.75" hidden="false" customHeight="true" outlineLevel="0" collapsed="false">
      <c r="B245" s="17" t="n">
        <f aca="false">IFERROR(__xludf.dummyfunction("""COMPUTED_VALUE"""),46283.6666666666)</f>
        <v>46283.6666666666</v>
      </c>
      <c r="C245" s="18" t="n">
        <f aca="false">IFERROR(__xludf.dummyfunction("""COMPUTED_VALUE"""),53.04)</f>
        <v>53.04</v>
      </c>
      <c r="D245" s="19" t="n">
        <f aca="false">IFERROR(C245/C244-1,0)</f>
        <v>-0.00356941574300207</v>
      </c>
      <c r="E245" s="20"/>
      <c r="G245" s="17" t="n">
        <f aca="false">IFERROR(__xludf.dummyfunction("""COMPUTED_VALUE"""),46283.6666666666)</f>
        <v>46283.6666666666</v>
      </c>
      <c r="H245" s="18" t="n">
        <f aca="false">IFERROR(__xludf.dummyfunction("""COMPUTED_VALUE"""),13.42)</f>
        <v>13.42</v>
      </c>
      <c r="I245" s="19" t="n">
        <f aca="false">IFERROR(H245/H244-1,0)</f>
        <v>-0.00371195248700817</v>
      </c>
      <c r="J245" s="20"/>
      <c r="L245" s="17" t="n">
        <f aca="false">IFERROR(__xludf.dummyfunction("""COMPUTED_VALUE"""),46283.6666666666)</f>
        <v>46283.6666666666</v>
      </c>
      <c r="M245" s="18" t="n">
        <f aca="false">IFERROR(__xludf.dummyfunction("""COMPUTED_VALUE"""),33.13)</f>
        <v>33.13</v>
      </c>
      <c r="N245" s="19" t="n">
        <f aca="false">IFERROR(M245/M244-1,0)</f>
        <v>0.00760340632603396</v>
      </c>
      <c r="V245" s="19" t="n">
        <f aca="false">IFERROR((D245+I245+N245)/3,0)</f>
        <v>0.000107346032007904</v>
      </c>
      <c r="W245" s="19" t="n">
        <f aca="false">IFERROR(0.3*D245+0.6*I245+0.1*N245,0)</f>
        <v>-0.00253765558250213</v>
      </c>
    </row>
    <row r="246" customFormat="false" ht="12.75" hidden="false" customHeight="true" outlineLevel="0" collapsed="false">
      <c r="B246" s="17" t="n">
        <f aca="false">IFERROR(__xludf.dummyfunction("""COMPUTED_VALUE"""),46286.6666666666)</f>
        <v>46286.6666666666</v>
      </c>
      <c r="C246" s="18" t="n">
        <f aca="false">IFERROR(__xludf.dummyfunction("""COMPUTED_VALUE"""),53.41)</f>
        <v>53.41</v>
      </c>
      <c r="D246" s="19" t="n">
        <f aca="false">IFERROR(C246/C245-1,0)</f>
        <v>0.00697586726998489</v>
      </c>
      <c r="E246" s="20"/>
      <c r="G246" s="17" t="n">
        <f aca="false">IFERROR(__xludf.dummyfunction("""COMPUTED_VALUE"""),46286.6666666666)</f>
        <v>46286.6666666666</v>
      </c>
      <c r="H246" s="18" t="n">
        <f aca="false">IFERROR(__xludf.dummyfunction("""COMPUTED_VALUE"""),13.48)</f>
        <v>13.48</v>
      </c>
      <c r="I246" s="19" t="n">
        <f aca="false">IFERROR(H246/H245-1,0)</f>
        <v>0.00447093889716843</v>
      </c>
      <c r="J246" s="20"/>
      <c r="L246" s="17" t="n">
        <f aca="false">IFERROR(__xludf.dummyfunction("""COMPUTED_VALUE"""),46286.6666666666)</f>
        <v>46286.6666666666</v>
      </c>
      <c r="M246" s="18" t="n">
        <f aca="false">IFERROR(__xludf.dummyfunction("""COMPUTED_VALUE"""),32.87)</f>
        <v>32.87</v>
      </c>
      <c r="N246" s="19" t="n">
        <f aca="false">IFERROR(M246/M245-1,0)</f>
        <v>-0.00784787201931803</v>
      </c>
      <c r="V246" s="19" t="n">
        <f aca="false">IFERROR((D246+I246+N246)/3,0)</f>
        <v>0.0011996447159451</v>
      </c>
      <c r="W246" s="19" t="n">
        <f aca="false">IFERROR(0.3*D246+0.6*I246+0.1*N246,0)</f>
        <v>0.00399053631736472</v>
      </c>
    </row>
    <row r="247" customFormat="false" ht="12.75" hidden="false" customHeight="true" outlineLevel="0" collapsed="false">
      <c r="B247" s="17" t="n">
        <f aca="false">IFERROR(__xludf.dummyfunction("""COMPUTED_VALUE"""),46287.6666666666)</f>
        <v>46287.6666666666</v>
      </c>
      <c r="C247" s="18" t="n">
        <f aca="false">IFERROR(__xludf.dummyfunction("""COMPUTED_VALUE"""),53.78)</f>
        <v>53.78</v>
      </c>
      <c r="D247" s="19" t="n">
        <f aca="false">IFERROR(C247/C246-1,0)</f>
        <v>0.00692754165886544</v>
      </c>
      <c r="E247" s="20"/>
      <c r="G247" s="17" t="n">
        <f aca="false">IFERROR(__xludf.dummyfunction("""COMPUTED_VALUE"""),46287.6666666666)</f>
        <v>46287.6666666666</v>
      </c>
      <c r="H247" s="18" t="n">
        <f aca="false">IFERROR(__xludf.dummyfunction("""COMPUTED_VALUE"""),13.5)</f>
        <v>13.5</v>
      </c>
      <c r="I247" s="19" t="n">
        <f aca="false">IFERROR(H247/H246-1,0)</f>
        <v>0.00148367952522244</v>
      </c>
      <c r="J247" s="20"/>
      <c r="L247" s="17" t="n">
        <f aca="false">IFERROR(__xludf.dummyfunction("""COMPUTED_VALUE"""),46287.6666666666)</f>
        <v>46287.6666666666</v>
      </c>
      <c r="M247" s="18" t="n">
        <f aca="false">IFERROR(__xludf.dummyfunction("""COMPUTED_VALUE"""),32.99)</f>
        <v>32.99</v>
      </c>
      <c r="N247" s="19" t="n">
        <f aca="false">IFERROR(M247/M246-1,0)</f>
        <v>0.00365074536051124</v>
      </c>
      <c r="V247" s="19" t="n">
        <f aca="false">IFERROR((D247+I247+N247)/3,0)</f>
        <v>0.00402065551486637</v>
      </c>
      <c r="W247" s="19" t="n">
        <f aca="false">IFERROR(0.3*D247+0.6*I247+0.1*N247,0)</f>
        <v>0.00333354474884422</v>
      </c>
    </row>
    <row r="248" customFormat="false" ht="12.75" hidden="false" customHeight="true" outlineLevel="0" collapsed="false">
      <c r="B248" s="17" t="n">
        <f aca="false">IFERROR(__xludf.dummyfunction("""COMPUTED_VALUE"""),46288.6666666666)</f>
        <v>46288.6666666666</v>
      </c>
      <c r="C248" s="18" t="n">
        <f aca="false">IFERROR(__xludf.dummyfunction("""COMPUTED_VALUE"""),52.95)</f>
        <v>52.95</v>
      </c>
      <c r="D248" s="19" t="n">
        <f aca="false">IFERROR(C248/C247-1,0)</f>
        <v>-0.0154332465600595</v>
      </c>
      <c r="E248" s="20"/>
      <c r="G248" s="17" t="n">
        <f aca="false">IFERROR(__xludf.dummyfunction("""COMPUTED_VALUE"""),46288.6666666666)</f>
        <v>46288.6666666666</v>
      </c>
      <c r="H248" s="18" t="n">
        <f aca="false">IFERROR(__xludf.dummyfunction("""COMPUTED_VALUE"""),13.4)</f>
        <v>13.4</v>
      </c>
      <c r="I248" s="19" t="n">
        <f aca="false">IFERROR(H248/H247-1,0)</f>
        <v>-0.00740740740740742</v>
      </c>
      <c r="J248" s="20"/>
      <c r="L248" s="17" t="n">
        <f aca="false">IFERROR(__xludf.dummyfunction("""COMPUTED_VALUE"""),46288.6666666666)</f>
        <v>46288.6666666666</v>
      </c>
      <c r="M248" s="18" t="n">
        <f aca="false">IFERROR(__xludf.dummyfunction("""COMPUTED_VALUE"""),32.38)</f>
        <v>32.38</v>
      </c>
      <c r="N248" s="19" t="n">
        <f aca="false">IFERROR(M248/M247-1,0)</f>
        <v>-0.0184904516520158</v>
      </c>
      <c r="V248" s="19" t="n">
        <f aca="false">IFERROR((D248+I248+N248)/3,0)</f>
        <v>-0.0137770352064942</v>
      </c>
      <c r="W248" s="19" t="n">
        <f aca="false">IFERROR(0.3*D248+0.6*I248+0.1*N248,0)</f>
        <v>-0.0109234635776639</v>
      </c>
    </row>
    <row r="249" customFormat="false" ht="12.75" hidden="false" customHeight="true" outlineLevel="0" collapsed="false">
      <c r="B249" s="17" t="n">
        <f aca="false">IFERROR(__xludf.dummyfunction("""COMPUTED_VALUE"""),46289.6666666666)</f>
        <v>46289.6666666666</v>
      </c>
      <c r="C249" s="18" t="n">
        <f aca="false">IFERROR(__xludf.dummyfunction("""COMPUTED_VALUE"""),52.95)</f>
        <v>52.95</v>
      </c>
      <c r="D249" s="19" t="n">
        <f aca="false">IFERROR(C249/C248-1,0)</f>
        <v>0</v>
      </c>
      <c r="E249" s="20"/>
      <c r="G249" s="17" t="n">
        <f aca="false">IFERROR(__xludf.dummyfunction("""COMPUTED_VALUE"""),46289.6666666666)</f>
        <v>46289.6666666666</v>
      </c>
      <c r="H249" s="18" t="n">
        <f aca="false">IFERROR(__xludf.dummyfunction("""COMPUTED_VALUE"""),13.36)</f>
        <v>13.36</v>
      </c>
      <c r="I249" s="19" t="n">
        <f aca="false">IFERROR(H249/H248-1,0)</f>
        <v>-0.0029850746268657</v>
      </c>
      <c r="J249" s="20"/>
      <c r="L249" s="17" t="n">
        <f aca="false">IFERROR(__xludf.dummyfunction("""COMPUTED_VALUE"""),46289.6666666666)</f>
        <v>46289.6666666666</v>
      </c>
      <c r="M249" s="18" t="n">
        <f aca="false">IFERROR(__xludf.dummyfunction("""COMPUTED_VALUE"""),32.31)</f>
        <v>32.31</v>
      </c>
      <c r="N249" s="19" t="n">
        <f aca="false">IFERROR(M249/M248-1,0)</f>
        <v>-0.0021618282890673</v>
      </c>
      <c r="V249" s="19" t="n">
        <f aca="false">IFERROR((D249+I249+N249)/3,0)</f>
        <v>-0.001715634305311</v>
      </c>
      <c r="W249" s="19" t="n">
        <f aca="false">IFERROR(0.3*D249+0.6*I249+0.1*N249,0)</f>
        <v>-0.00200722760502615</v>
      </c>
    </row>
    <row r="250" customFormat="false" ht="12.75" hidden="false" customHeight="true" outlineLevel="0" collapsed="false">
      <c r="B250" s="17" t="n">
        <f aca="false">IFERROR(__xludf.dummyfunction("""COMPUTED_VALUE"""),46290.6666666666)</f>
        <v>46290.6666666666</v>
      </c>
      <c r="C250" s="18" t="n">
        <f aca="false">IFERROR(__xludf.dummyfunction("""COMPUTED_VALUE"""),53.08)</f>
        <v>53.08</v>
      </c>
      <c r="D250" s="19" t="n">
        <f aca="false">IFERROR(C250/C249-1,0)</f>
        <v>0.00245514636449462</v>
      </c>
      <c r="E250" s="20"/>
      <c r="G250" s="17" t="n">
        <f aca="false">IFERROR(__xludf.dummyfunction("""COMPUTED_VALUE"""),46290.6666666666)</f>
        <v>46290.6666666666</v>
      </c>
      <c r="H250" s="18" t="n">
        <f aca="false">IFERROR(__xludf.dummyfunction("""COMPUTED_VALUE"""),13.43)</f>
        <v>13.43</v>
      </c>
      <c r="I250" s="19" t="n">
        <f aca="false">IFERROR(H250/H249-1,0)</f>
        <v>0.00523952095808378</v>
      </c>
      <c r="J250" s="20"/>
      <c r="L250" s="17" t="n">
        <f aca="false">IFERROR(__xludf.dummyfunction("""COMPUTED_VALUE"""),46290.6666666666)</f>
        <v>46290.6666666666</v>
      </c>
      <c r="M250" s="18" t="n">
        <f aca="false">IFERROR(__xludf.dummyfunction("""COMPUTED_VALUE"""),32.42)</f>
        <v>32.42</v>
      </c>
      <c r="N250" s="19" t="n">
        <f aca="false">IFERROR(M250/M249-1,0)</f>
        <v>0.00340451872485303</v>
      </c>
      <c r="V250" s="19" t="n">
        <f aca="false">IFERROR((D250+I250+N250)/3,0)</f>
        <v>0.00369972868247714</v>
      </c>
      <c r="W250" s="19" t="n">
        <f aca="false">IFERROR(0.3*D250+0.6*I250+0.1*N250,0)</f>
        <v>0.00422070835668396</v>
      </c>
    </row>
    <row r="251" customFormat="false" ht="12.75" hidden="false" customHeight="true" outlineLevel="0" collapsed="false">
      <c r="B251" s="17" t="n">
        <f aca="false">IFERROR(__xludf.dummyfunction("""COMPUTED_VALUE"""),46293.6666666666)</f>
        <v>46293.6666666666</v>
      </c>
      <c r="C251" s="18" t="n">
        <f aca="false">IFERROR(__xludf.dummyfunction("""COMPUTED_VALUE"""),52.76)</f>
        <v>52.76</v>
      </c>
      <c r="D251" s="19" t="n">
        <f aca="false">IFERROR(C251/C250-1,0)</f>
        <v>-0.00602863602110026</v>
      </c>
      <c r="E251" s="20"/>
      <c r="G251" s="17" t="n">
        <f aca="false">IFERROR(__xludf.dummyfunction("""COMPUTED_VALUE"""),46293.6666666666)</f>
        <v>46293.6666666666</v>
      </c>
      <c r="H251" s="18" t="n">
        <f aca="false">IFERROR(__xludf.dummyfunction("""COMPUTED_VALUE"""),13.39)</f>
        <v>13.39</v>
      </c>
      <c r="I251" s="19" t="n">
        <f aca="false">IFERROR(H251/H250-1,0)</f>
        <v>-0.00297840655249437</v>
      </c>
      <c r="J251" s="20"/>
      <c r="L251" s="17" t="n">
        <f aca="false">IFERROR(__xludf.dummyfunction("""COMPUTED_VALUE"""),46293.6666666666)</f>
        <v>46293.6666666666</v>
      </c>
      <c r="M251" s="18" t="n">
        <f aca="false">IFERROR(__xludf.dummyfunction("""COMPUTED_VALUE"""),31.13)</f>
        <v>31.13</v>
      </c>
      <c r="N251" s="19" t="n">
        <f aca="false">IFERROR(M251/M250-1,0)</f>
        <v>-0.03979025293029</v>
      </c>
      <c r="V251" s="19" t="n">
        <f aca="false">IFERROR((D251+I251+N251)/3,0)</f>
        <v>-0.0162657651679616</v>
      </c>
      <c r="W251" s="19" t="n">
        <f aca="false">IFERROR(0.3*D251+0.6*I251+0.1*N251,0)</f>
        <v>-0.00757466003085571</v>
      </c>
    </row>
    <row r="252" customFormat="false" ht="12.75" hidden="false" customHeight="true" outlineLevel="0" collapsed="false">
      <c r="B252" s="17" t="n">
        <f aca="false">IFERROR(__xludf.dummyfunction("""COMPUTED_VALUE"""),46294.6666666666)</f>
        <v>46294.6666666666</v>
      </c>
      <c r="C252" s="18" t="n">
        <f aca="false">IFERROR(__xludf.dummyfunction("""COMPUTED_VALUE"""),52.73)</f>
        <v>52.73</v>
      </c>
      <c r="D252" s="19" t="n">
        <f aca="false">IFERROR(C252/C251-1,0)</f>
        <v>-0.00056861258529195</v>
      </c>
      <c r="E252" s="20"/>
      <c r="G252" s="17" t="n">
        <f aca="false">IFERROR(__xludf.dummyfunction("""COMPUTED_VALUE"""),46294.6666666666)</f>
        <v>46294.6666666666</v>
      </c>
      <c r="H252" s="18" t="n">
        <f aca="false">IFERROR(__xludf.dummyfunction("""COMPUTED_VALUE"""),13.32)</f>
        <v>13.32</v>
      </c>
      <c r="I252" s="19" t="n">
        <f aca="false">IFERROR(H252/H251-1,0)</f>
        <v>-0.00522778192681106</v>
      </c>
      <c r="J252" s="20"/>
      <c r="L252" s="17" t="n">
        <f aca="false">IFERROR(__xludf.dummyfunction("""COMPUTED_VALUE"""),46294.6666666666)</f>
        <v>46294.6666666666</v>
      </c>
      <c r="M252" s="18" t="n">
        <f aca="false">IFERROR(__xludf.dummyfunction("""COMPUTED_VALUE"""),31.54)</f>
        <v>31.54</v>
      </c>
      <c r="N252" s="19" t="n">
        <f aca="false">IFERROR(M252/M251-1,0)</f>
        <v>0.0131705750080309</v>
      </c>
      <c r="V252" s="19" t="n">
        <f aca="false">IFERROR((D252+I252+N252)/3,0)</f>
        <v>0.00245806016530929</v>
      </c>
      <c r="W252" s="19" t="n">
        <f aca="false">IFERROR(0.3*D252+0.6*I252+0.1*N252,0)</f>
        <v>-0.00199019543087113</v>
      </c>
    </row>
    <row r="253" customFormat="false" ht="12.75" hidden="false" customHeight="true" outlineLevel="0" collapsed="false">
      <c r="B253" s="17" t="n">
        <f aca="false">IFERROR(__xludf.dummyfunction("""COMPUTED_VALUE"""),46295.6666666666)</f>
        <v>46295.6666666666</v>
      </c>
      <c r="C253" s="18" t="n">
        <f aca="false">IFERROR(__xludf.dummyfunction("""COMPUTED_VALUE"""),52.35)</f>
        <v>52.35</v>
      </c>
      <c r="D253" s="19" t="n">
        <f aca="false">IFERROR(C253/C252-1,0)</f>
        <v>-0.00720652380049303</v>
      </c>
      <c r="E253" s="20"/>
      <c r="G253" s="17" t="n">
        <f aca="false">IFERROR(__xludf.dummyfunction("""COMPUTED_VALUE"""),46295.6666666666)</f>
        <v>46295.6666666666</v>
      </c>
      <c r="H253" s="18" t="n">
        <f aca="false">IFERROR(__xludf.dummyfunction("""COMPUTED_VALUE"""),13.3)</f>
        <v>13.3</v>
      </c>
      <c r="I253" s="19" t="n">
        <f aca="false">IFERROR(H253/H252-1,0)</f>
        <v>-0.00150150150150152</v>
      </c>
      <c r="J253" s="20"/>
      <c r="L253" s="17" t="n">
        <f aca="false">IFERROR(__xludf.dummyfunction("""COMPUTED_VALUE"""),46295.6666666666)</f>
        <v>46295.6666666666</v>
      </c>
      <c r="M253" s="18" t="n">
        <f aca="false">IFERROR(__xludf.dummyfunction("""COMPUTED_VALUE"""),31.33)</f>
        <v>31.33</v>
      </c>
      <c r="N253" s="19" t="n">
        <f aca="false">IFERROR(M253/M252-1,0)</f>
        <v>-0.00665821179454662</v>
      </c>
      <c r="V253" s="19" t="n">
        <f aca="false">IFERROR((D253+I253+N253)/3,0)</f>
        <v>-0.00512207903218039</v>
      </c>
      <c r="W253" s="19" t="n">
        <f aca="false">IFERROR(0.3*D253+0.6*I253+0.1*N253,0)</f>
        <v>-0.00372867922050348</v>
      </c>
    </row>
    <row r="254" customFormat="false" ht="12.75" hidden="false" customHeight="true" outlineLevel="0" collapsed="false">
      <c r="B254" s="17" t="n">
        <f aca="false">IFERROR(__xludf.dummyfunction("""COMPUTED_VALUE"""),46296.6666666666)</f>
        <v>46296.6666666666</v>
      </c>
      <c r="C254" s="18" t="n">
        <f aca="false">IFERROR(__xludf.dummyfunction("""COMPUTED_VALUE"""),52.29)</f>
        <v>52.29</v>
      </c>
      <c r="D254" s="19" t="n">
        <f aca="false">IFERROR(C254/C253-1,0)</f>
        <v>-0.00114613180515766</v>
      </c>
      <c r="E254" s="20"/>
      <c r="G254" s="17" t="n">
        <f aca="false">IFERROR(__xludf.dummyfunction("""COMPUTED_VALUE"""),46296.6666666666)</f>
        <v>46296.6666666666</v>
      </c>
      <c r="H254" s="18" t="n">
        <f aca="false">IFERROR(__xludf.dummyfunction("""COMPUTED_VALUE"""),13.35)</f>
        <v>13.35</v>
      </c>
      <c r="I254" s="19" t="n">
        <f aca="false">IFERROR(H254/H253-1,0)</f>
        <v>0.00375939849624052</v>
      </c>
      <c r="J254" s="20"/>
      <c r="L254" s="17" t="n">
        <f aca="false">IFERROR(__xludf.dummyfunction("""COMPUTED_VALUE"""),46296.6666666666)</f>
        <v>46296.6666666666</v>
      </c>
      <c r="M254" s="18" t="n">
        <f aca="false">IFERROR(__xludf.dummyfunction("""COMPUTED_VALUE"""),31.51)</f>
        <v>31.51</v>
      </c>
      <c r="N254" s="19" t="n">
        <f aca="false">IFERROR(M254/M253-1,0)</f>
        <v>0.0057452920523462</v>
      </c>
      <c r="V254" s="19" t="n">
        <f aca="false">IFERROR((D254+I254+N254)/3,0)</f>
        <v>0.00278618624780969</v>
      </c>
      <c r="W254" s="19" t="n">
        <f aca="false">IFERROR(0.3*D254+0.6*I254+0.1*N254,0)</f>
        <v>0.00248632876143163</v>
      </c>
    </row>
    <row r="255" customFormat="false" ht="12.75" hidden="false" customHeight="true" outlineLevel="0" collapsed="false">
      <c r="B255" s="17" t="n">
        <f aca="false">IFERROR(__xludf.dummyfunction("""COMPUTED_VALUE"""),46297.6666666666)</f>
        <v>46297.6666666666</v>
      </c>
      <c r="C255" s="18" t="n">
        <f aca="false">IFERROR(__xludf.dummyfunction("""COMPUTED_VALUE"""),52.78)</f>
        <v>52.78</v>
      </c>
      <c r="D255" s="19" t="n">
        <f aca="false">IFERROR(C255/C254-1,0)</f>
        <v>0.00937081659973238</v>
      </c>
      <c r="E255" s="20"/>
      <c r="G255" s="17" t="n">
        <f aca="false">IFERROR(__xludf.dummyfunction("""COMPUTED_VALUE"""),46297.6666666666)</f>
        <v>46297.6666666666</v>
      </c>
      <c r="H255" s="18" t="n">
        <f aca="false">IFERROR(__xludf.dummyfunction("""COMPUTED_VALUE"""),13.34)</f>
        <v>13.34</v>
      </c>
      <c r="I255" s="19" t="n">
        <f aca="false">IFERROR(H255/H254-1,0)</f>
        <v>-0.000749063670411942</v>
      </c>
      <c r="J255" s="20"/>
      <c r="L255" s="17" t="n">
        <f aca="false">IFERROR(__xludf.dummyfunction("""COMPUTED_VALUE"""),46297.6666666666)</f>
        <v>46297.6666666666</v>
      </c>
      <c r="M255" s="18" t="n">
        <f aca="false">IFERROR(__xludf.dummyfunction("""COMPUTED_VALUE"""),31.28)</f>
        <v>31.28</v>
      </c>
      <c r="N255" s="19" t="n">
        <f aca="false">IFERROR(M255/M254-1,0)</f>
        <v>-0.00729927007299269</v>
      </c>
      <c r="V255" s="19" t="n">
        <f aca="false">IFERROR((D255+I255+N255)/3,0)</f>
        <v>0.000440827618775915</v>
      </c>
      <c r="W255" s="19" t="n">
        <f aca="false">IFERROR(0.3*D255+0.6*I255+0.1*N255,0)</f>
        <v>0.00163187977037328</v>
      </c>
    </row>
  </sheetData>
  <mergeCells count="6">
    <mergeCell ref="R2:T4"/>
    <mergeCell ref="V3:W3"/>
    <mergeCell ref="B4:F4"/>
    <mergeCell ref="G4:K4"/>
    <mergeCell ref="L4:P4"/>
    <mergeCell ref="R12:T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2026-10-06T18:12:12Z</dcterms:created>
  <dc:creator>openpyxl</dc:creator>
  <dc:description/>
  <dc:language>en-US</dc:language>
  <cp:lastModifiedBy>Bawan singh</cp:lastModifiedBy>
  <dcterms:modified xsi:type="dcterms:W3CDTF">2026-10-06T18:13:21Z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